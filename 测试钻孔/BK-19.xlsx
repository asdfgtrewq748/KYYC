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FAC188FA-248C-4FAF-89BB-85463F7FCC0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4" i="1"/>
  <c r="G15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F2" i="1"/>
  <c r="E2" i="1"/>
  <c r="D2" i="1"/>
</calcChain>
</file>

<file path=xl/sharedStrings.xml><?xml version="1.0" encoding="utf-8"?>
<sst xmlns="http://schemas.openxmlformats.org/spreadsheetml/2006/main" count="26" uniqueCount="16">
  <si>
    <t>砂质泥岩</t>
    <phoneticPr fontId="1" type="noConversion"/>
  </si>
  <si>
    <t>泥岩</t>
    <phoneticPr fontId="1" type="noConversion"/>
  </si>
  <si>
    <t>粗粒砂岩</t>
    <phoneticPr fontId="1" type="noConversion"/>
  </si>
  <si>
    <t>中粒砂岩</t>
    <phoneticPr fontId="1" type="noConversion"/>
  </si>
  <si>
    <t>炭质泥岩</t>
    <phoneticPr fontId="1" type="noConversion"/>
  </si>
  <si>
    <t>6-1煤</t>
    <phoneticPr fontId="1" type="noConversion"/>
  </si>
  <si>
    <t>粉砂岩</t>
    <phoneticPr fontId="1" type="noConversion"/>
  </si>
  <si>
    <t>含砾粗粒砂岩</t>
    <phoneticPr fontId="1" type="noConversion"/>
  </si>
  <si>
    <t>4煤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</si>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</sst>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s="1"/>
    </row>
    <row r="2" spans="1:7" x14ac:dyDescent="0.25">
      <c r="A2">
        <v>19</v>
      </c>
      <c r="B2" s="1" t="s">
        <v>9</v>
      </c>
      <c r="C2" s="1">
        <v>100.7</v>
      </c>
      <c r="D2" s="1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18</v>
      </c>
      <c r="B3" s="1" t="s">
        <v>3</v>
      </c>
      <c r="C3" s="1">
        <v>8.67</v>
      </c>
      <c r="D3" s="1">
        <f>VLOOKUP(B3,[1]Sheet2!$A$2:$D$33,2,FALSE)</f>
        <v>20</v>
      </c>
      <c r="E3">
        <f>VLOOKUP(B3,[1]Sheet2!$A$2:$D$33,3,FALSE)</f>
        <v>2570</v>
      </c>
      <c r="F3">
        <f>VLOOKUP(B3,[1]Sheet2!$A$2:$D$33,4,FALSE)</f>
        <v>2.72</v>
      </c>
      <c r="G3">
        <f>SUM(C4:C20)</f>
        <v>106.24</v>
      </c>
    </row>
    <row r="4" spans="1:7" x14ac:dyDescent="0.25">
      <c r="A4">
        <v>17</v>
      </c>
      <c r="B4" s="1" t="s">
        <v>1</v>
      </c>
      <c r="C4" s="1">
        <v>4.4000000000000004</v>
      </c>
      <c r="D4" s="1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1.32</v>
      </c>
    </row>
    <row r="5" spans="1:7" x14ac:dyDescent="0.25">
      <c r="A5">
        <v>16</v>
      </c>
      <c r="B5" s="1" t="s">
        <v>3</v>
      </c>
      <c r="C5" s="1">
        <v>6.93</v>
      </c>
      <c r="D5" s="1">
        <f>VLOOKUP(B5,[1]Sheet2!$A$2:$D$33,2,FALSE)</f>
        <v>20</v>
      </c>
      <c r="E5">
        <f>VLOOKUP(B5,[1]Sheet2!$A$2:$D$33,3,FALSE)</f>
        <v>2570</v>
      </c>
      <c r="F5">
        <f>VLOOKUP(B5,[1]Sheet2!$A$2:$D$33,4,FALSE)</f>
        <v>2.72</v>
      </c>
    </row>
    <row r="6" spans="1:7" x14ac:dyDescent="0.25">
      <c r="A6">
        <v>15</v>
      </c>
      <c r="B6" s="1" t="s">
        <v>2</v>
      </c>
      <c r="C6" s="1">
        <v>5.69</v>
      </c>
      <c r="D6" s="1">
        <f>VLOOKUP(B6,[1]Sheet2!$A$2:$D$33,2,FALSE)</f>
        <v>11.49</v>
      </c>
      <c r="E6">
        <f>VLOOKUP(B6,[1]Sheet2!$A$2:$D$33,3,FALSE)</f>
        <v>2780</v>
      </c>
      <c r="F6">
        <f>VLOOKUP(B6,[1]Sheet2!$A$2:$D$33,4,FALSE)</f>
        <v>3.0750000000000002</v>
      </c>
    </row>
    <row r="7" spans="1:7" x14ac:dyDescent="0.25">
      <c r="A7">
        <v>14</v>
      </c>
      <c r="B7" s="1" t="s">
        <v>0</v>
      </c>
      <c r="C7" s="1">
        <v>6.5</v>
      </c>
      <c r="D7" s="1">
        <f>VLOOKUP(B7,[1]Sheet2!$A$2:$D$33,2,FALSE)</f>
        <v>7.17</v>
      </c>
      <c r="E7">
        <f>VLOOKUP(B7,[1]Sheet2!$A$2:$D$33,3,FALSE)</f>
        <v>2680</v>
      </c>
      <c r="F7">
        <f>VLOOKUP(B7,[1]Sheet2!$A$2:$D$33,4,FALSE)</f>
        <v>1.32</v>
      </c>
    </row>
    <row r="8" spans="1:7" x14ac:dyDescent="0.25">
      <c r="A8">
        <v>13</v>
      </c>
      <c r="B8" s="1" t="s">
        <v>6</v>
      </c>
      <c r="C8" s="1">
        <v>1.64</v>
      </c>
      <c r="D8" s="1">
        <f>VLOOKUP(B8,[1]Sheet2!$A$2:$D$33,2,FALSE)</f>
        <v>10.199999999999999</v>
      </c>
      <c r="E8">
        <f>VLOOKUP(B8,[1]Sheet2!$A$2:$D$33,3,FALSE)</f>
        <v>2590</v>
      </c>
      <c r="F8">
        <f>VLOOKUP(B8,[1]Sheet2!$A$2:$D$33,4,FALSE)</f>
        <v>2.6</v>
      </c>
    </row>
    <row r="9" spans="1:7" x14ac:dyDescent="0.25">
      <c r="A9">
        <v>12</v>
      </c>
      <c r="B9" s="1" t="s">
        <v>2</v>
      </c>
      <c r="C9" s="1">
        <v>11.07</v>
      </c>
      <c r="D9" s="1">
        <f>VLOOKUP(B9,[1]Sheet2!$A$2:$D$33,2,FALSE)</f>
        <v>11.49</v>
      </c>
      <c r="E9">
        <f>VLOOKUP(B9,[1]Sheet2!$A$2:$D$33,3,FALSE)</f>
        <v>2780</v>
      </c>
      <c r="F9">
        <f>VLOOKUP(B9,[1]Sheet2!$A$2:$D$33,4,FALSE)</f>
        <v>3.0750000000000002</v>
      </c>
    </row>
    <row r="10" spans="1:7" x14ac:dyDescent="0.25">
      <c r="A10">
        <v>11</v>
      </c>
      <c r="B10" s="1" t="s">
        <v>6</v>
      </c>
      <c r="C10" s="1">
        <v>7.44</v>
      </c>
      <c r="D10" s="1">
        <f>VLOOKUP(B10,[1]Sheet2!$A$2:$D$33,2,FALSE)</f>
        <v>10.199999999999999</v>
      </c>
      <c r="E10">
        <f>VLOOKUP(B10,[1]Sheet2!$A$2:$D$33,3,FALSE)</f>
        <v>2590</v>
      </c>
      <c r="F10">
        <f>VLOOKUP(B10,[1]Sheet2!$A$2:$D$33,4,FALSE)</f>
        <v>2.6</v>
      </c>
    </row>
    <row r="11" spans="1:7" x14ac:dyDescent="0.25">
      <c r="A11">
        <v>10</v>
      </c>
      <c r="B11" s="1" t="s">
        <v>8</v>
      </c>
      <c r="C11" s="1">
        <v>5.07</v>
      </c>
      <c r="D11" s="1">
        <f>VLOOKUP(B11,[1]Sheet2!$A$2:$D$33,2,FALSE)</f>
        <v>2.72</v>
      </c>
      <c r="E11">
        <f>VLOOKUP(B11,[1]Sheet2!$A$2:$D$33,3,FALSE)</f>
        <v>1410</v>
      </c>
      <c r="F11">
        <f>VLOOKUP(B11,[1]Sheet2!$A$2:$D$33,4,FALSE)</f>
        <v>0.83</v>
      </c>
    </row>
    <row r="12" spans="1:7" x14ac:dyDescent="0.25">
      <c r="A12">
        <v>9</v>
      </c>
      <c r="B12" s="1" t="s">
        <v>0</v>
      </c>
      <c r="C12" s="1">
        <v>0.89</v>
      </c>
      <c r="D12" s="1">
        <f>VLOOKUP(B12,[1]Sheet2!$A$2:$D$33,2,FALSE)</f>
        <v>7.17</v>
      </c>
      <c r="E12">
        <f>VLOOKUP(B12,[1]Sheet2!$A$2:$D$33,3,FALSE)</f>
        <v>2680</v>
      </c>
      <c r="F12">
        <f>VLOOKUP(B12,[1]Sheet2!$A$2:$D$33,4,FALSE)</f>
        <v>1.32</v>
      </c>
    </row>
    <row r="13" spans="1:7" x14ac:dyDescent="0.25">
      <c r="A13">
        <v>8</v>
      </c>
      <c r="B13" s="1" t="s">
        <v>6</v>
      </c>
      <c r="C13" s="1">
        <v>1.4</v>
      </c>
      <c r="D13" s="1">
        <f>VLOOKUP(B13,[1]Sheet2!$A$2:$D$33,2,FALSE)</f>
        <v>10.199999999999999</v>
      </c>
      <c r="E13">
        <f>VLOOKUP(B13,[1]Sheet2!$A$2:$D$33,3,FALSE)</f>
        <v>2590</v>
      </c>
      <c r="F13">
        <f>VLOOKUP(B13,[1]Sheet2!$A$2:$D$33,4,FALSE)</f>
        <v>2.6</v>
      </c>
    </row>
    <row r="14" spans="1:7" x14ac:dyDescent="0.25">
      <c r="A14">
        <v>7</v>
      </c>
      <c r="B14" s="1" t="s">
        <v>0</v>
      </c>
      <c r="C14" s="1">
        <v>2.15</v>
      </c>
      <c r="D14" s="1">
        <f>VLOOKUP(B14,[1]Sheet2!$A$2:$D$33,2,FALSE)</f>
        <v>7.17</v>
      </c>
      <c r="E14">
        <f>VLOOKUP(B14,[1]Sheet2!$A$2:$D$33,3,FALSE)</f>
        <v>2680</v>
      </c>
      <c r="F14">
        <f>VLOOKUP(B14,[1]Sheet2!$A$2:$D$33,4,FALSE)</f>
        <v>1.32</v>
      </c>
      <c r="G14">
        <f>SUM(C2:C14)</f>
        <v>162.54999999999998</v>
      </c>
    </row>
    <row r="15" spans="1:7" x14ac:dyDescent="0.25">
      <c r="A15">
        <v>6</v>
      </c>
      <c r="B15" s="2" t="s">
        <v>3</v>
      </c>
      <c r="C15" s="2">
        <v>20.95</v>
      </c>
      <c r="D15" s="2">
        <f>VLOOKUP(B15,[1]Sheet2!$A$2:$D$33,2,FALSE)</f>
        <v>20</v>
      </c>
      <c r="E15" s="3">
        <f>VLOOKUP(B15,[1]Sheet2!$A$2:$D$33,3,FALSE)</f>
        <v>2570</v>
      </c>
      <c r="F15" s="3">
        <f>VLOOKUP(B15,[1]Sheet2!$A$2:$D$33,4,FALSE)</f>
        <v>2.72</v>
      </c>
      <c r="G15">
        <f>SUM(C16:C20)</f>
        <v>32.11</v>
      </c>
    </row>
    <row r="16" spans="1:7" x14ac:dyDescent="0.25">
      <c r="A16">
        <v>5</v>
      </c>
      <c r="B16" s="1" t="s">
        <v>7</v>
      </c>
      <c r="C16" s="1">
        <v>11.85</v>
      </c>
      <c r="D16" s="1">
        <f>VLOOKUP(B16,[1]Sheet2!$A$2:$D$33,2,FALSE)</f>
        <v>11.49</v>
      </c>
      <c r="E16">
        <f>VLOOKUP(B16,[1]Sheet2!$A$2:$D$33,3,FALSE)</f>
        <v>2780</v>
      </c>
      <c r="F16">
        <f>VLOOKUP(B16,[1]Sheet2!$A$2:$D$33,4,FALSE)</f>
        <v>1.44</v>
      </c>
    </row>
    <row r="17" spans="1:6" x14ac:dyDescent="0.25">
      <c r="A17">
        <v>4</v>
      </c>
      <c r="B17" s="1" t="s">
        <v>4</v>
      </c>
      <c r="C17" s="1">
        <v>0.68</v>
      </c>
      <c r="D17" s="1">
        <f>VLOOKUP(B17,[1]Sheet2!$A$2:$D$33,2,FALSE)</f>
        <v>7.17</v>
      </c>
      <c r="E17">
        <f>VLOOKUP(B17,[1]Sheet2!$A$2:$D$33,3,FALSE)</f>
        <v>2680</v>
      </c>
      <c r="F17">
        <f>VLOOKUP(B17,[1]Sheet2!$A$2:$D$33,4,FALSE)</f>
        <v>1.32</v>
      </c>
    </row>
    <row r="18" spans="1:6" x14ac:dyDescent="0.25">
      <c r="A18">
        <v>3</v>
      </c>
      <c r="B18" s="1" t="s">
        <v>3</v>
      </c>
      <c r="C18" s="1">
        <v>8.6300000000000008</v>
      </c>
      <c r="D18" s="1">
        <f>VLOOKUP(B18,[1]Sheet2!$A$2:$D$33,2,FALSE)</f>
        <v>20</v>
      </c>
      <c r="E18">
        <f>VLOOKUP(B18,[1]Sheet2!$A$2:$D$33,3,FALSE)</f>
        <v>2570</v>
      </c>
      <c r="F18">
        <f>VLOOKUP(B18,[1]Sheet2!$A$2:$D$33,4,FALSE)</f>
        <v>2.72</v>
      </c>
    </row>
    <row r="19" spans="1:6" x14ac:dyDescent="0.25">
      <c r="A19">
        <v>2</v>
      </c>
      <c r="B19" s="1" t="s">
        <v>2</v>
      </c>
      <c r="C19" s="1">
        <v>9.7799999999999994</v>
      </c>
      <c r="D19" s="1">
        <f>VLOOKUP(B19,[1]Sheet2!$A$2:$D$33,2,FALSE)</f>
        <v>11.49</v>
      </c>
      <c r="E19">
        <f>VLOOKUP(B19,[1]Sheet2!$A$2:$D$33,3,FALSE)</f>
        <v>2780</v>
      </c>
      <c r="F19">
        <f>VLOOKUP(B19,[1]Sheet2!$A$2:$D$33,4,FALSE)</f>
        <v>3.0750000000000002</v>
      </c>
    </row>
    <row r="20" spans="1:6" x14ac:dyDescent="0.25">
      <c r="A20">
        <v>1</v>
      </c>
      <c r="B20" s="1" t="s">
        <v>6</v>
      </c>
      <c r="C20" s="1">
        <v>1.17</v>
      </c>
      <c r="D20" s="1">
        <f>VLOOKUP(B20,[1]Sheet2!$A$2:$D$33,2,FALSE)</f>
        <v>10.199999999999999</v>
      </c>
      <c r="E20">
        <f>VLOOKUP(B20,[1]Sheet2!$A$2:$D$33,3,FALSE)</f>
        <v>2590</v>
      </c>
      <c r="F20">
        <f>VLOOKUP(B20,[1]Sheet2!$A$2:$D$33,4,FALSE)</f>
        <v>2.6</v>
      </c>
    </row>
    <row r="21" spans="1:6" x14ac:dyDescent="0.25">
      <c r="A21">
        <v>0</v>
      </c>
      <c r="B21" s="1" t="s">
        <v>5</v>
      </c>
      <c r="C21" s="1">
        <v>7.32</v>
      </c>
      <c r="D21" s="1">
        <f>VLOOKUP(B21,[1]Sheet2!$A$2:$D$33,2,FALSE)</f>
        <v>2.72</v>
      </c>
      <c r="E21">
        <f>VLOOKUP(B21,[1]Sheet2!$A$2:$D$33,3,FALSE)</f>
        <v>1410</v>
      </c>
      <c r="F21">
        <f>VLOOKUP(B21,[1]Sheet2!$A$2:$D$33,4,FALSE)</f>
        <v>0.83</v>
      </c>
    </row>
    <row r="22" spans="1:6" x14ac:dyDescent="0.25">
      <c r="B22" s="1"/>
      <c r="C22" s="1"/>
      <c r="D22" s="1"/>
    </row>
    <row r="23" spans="1:6" x14ac:dyDescent="0.25">
      <c r="B23" s="1"/>
      <c r="C23" s="1"/>
      <c r="D23" s="1"/>
    </row>
    <row r="24" spans="1:6" x14ac:dyDescent="0.25">
      <c r="B24" s="1"/>
      <c r="C24" s="1"/>
      <c r="D24" s="1"/>
    </row>
    <row r="25" spans="1:6" x14ac:dyDescent="0.25">
      <c r="B25" s="1"/>
      <c r="C25" s="1"/>
      <c r="D25" s="1"/>
    </row>
    <row r="26" spans="1:6" x14ac:dyDescent="0.25">
      <c r="B26" s="1"/>
      <c r="C26" s="1"/>
      <c r="D26" s="1"/>
    </row>
    <row r="27" spans="1:6" x14ac:dyDescent="0.25">
      <c r="B27" s="1"/>
      <c r="C27" s="1"/>
      <c r="D27" s="1"/>
    </row>
    <row r="28" spans="1:6" x14ac:dyDescent="0.25">
      <c r="B28" s="1"/>
      <c r="C28" s="1"/>
      <c r="D28" s="1"/>
    </row>
    <row r="29" spans="1:6" x14ac:dyDescent="0.25">
      <c r="B29" s="1"/>
      <c r="C29" s="1"/>
      <c r="D29" s="1"/>
    </row>
    <row r="30" spans="1:6" x14ac:dyDescent="0.25">
      <c r="B30" s="1"/>
      <c r="C30" s="1"/>
      <c r="D30" s="1"/>
    </row>
    <row r="31" spans="1:6" x14ac:dyDescent="0.25">
      <c r="B31" s="1"/>
      <c r="C31" s="1"/>
      <c r="D31" s="1"/>
    </row>
    <row r="32" spans="1:6" x14ac:dyDescent="0.25">
      <c r="B32" s="1"/>
      <c r="C32" s="1"/>
      <c r="D32" s="1"/>
    </row>
    <row r="33" spans="2:4" x14ac:dyDescent="0.25">
      <c r="B33" s="1"/>
      <c r="C33" s="1"/>
      <c r="D33" s="1"/>
    </row>
    <row r="34" spans="2:4" x14ac:dyDescent="0.25">
      <c r="B34" s="1"/>
      <c r="C34" s="1"/>
      <c r="D3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2024-12-19T15:31:35Z</dcterms:modified>
</cp:coreProperties>
</file>