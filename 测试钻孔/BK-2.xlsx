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0EE2D349-D770-4250-8147-11F49FA73CC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D2" i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</calcChain>
</file>

<file path=xl/sharedStrings.xml><?xml version="1.0" encoding="utf-8"?>
<sst xmlns="http://schemas.openxmlformats.org/spreadsheetml/2006/main" count="11" uniqueCount="11">
  <si>
    <t>砂质泥岩</t>
    <phoneticPr fontId="1" type="noConversion"/>
  </si>
  <si>
    <t>6煤</t>
    <phoneticPr fontId="1" type="noConversion"/>
  </si>
  <si>
    <t>高岭质泥岩</t>
    <phoneticPr fontId="1" type="noConversion"/>
  </si>
  <si>
    <t>中粒砂岩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</si>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</sst>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3" sqref="D3"/>
    </sheetView>
  </sheetViews>
  <sheetFormatPr defaultRowHeight="13.8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1"/>
    </row>
    <row r="2" spans="1:7" x14ac:dyDescent="0.25">
      <c r="A2">
        <v>4</v>
      </c>
      <c r="B2" t="s">
        <v>4</v>
      </c>
      <c r="C2">
        <v>105.14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3</v>
      </c>
      <c r="B3" t="s">
        <v>0</v>
      </c>
      <c r="C3">
        <v>7.7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</row>
    <row r="4" spans="1:7" x14ac:dyDescent="0.25">
      <c r="A4">
        <v>2</v>
      </c>
      <c r="B4" s="2" t="s">
        <v>3</v>
      </c>
      <c r="C4" s="2">
        <v>3.53</v>
      </c>
      <c r="D4" s="2">
        <f>VLOOKUP(B4,[1]Sheet2!$A$2:$D$33,2,FALSE)</f>
        <v>20</v>
      </c>
      <c r="E4" s="2">
        <f>VLOOKUP(B4,[1]Sheet2!$A$2:$D$33,3,FALSE)</f>
        <v>2570</v>
      </c>
      <c r="F4" s="2">
        <f>VLOOKUP(B4,[1]Sheet2!$A$2:$D$33,4,FALSE)</f>
        <v>2.72</v>
      </c>
      <c r="G4">
        <f>SUM(C2:C3)</f>
        <v>112.84</v>
      </c>
    </row>
    <row r="5" spans="1:7" x14ac:dyDescent="0.25">
      <c r="A5">
        <v>1</v>
      </c>
      <c r="B5" t="s">
        <v>2</v>
      </c>
      <c r="C5">
        <v>3.05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1.04</v>
      </c>
      <c r="G5">
        <f>SUM(C3:C5)</f>
        <v>14.280000000000001</v>
      </c>
    </row>
    <row r="6" spans="1:7" x14ac:dyDescent="0.25">
      <c r="A6">
        <v>0</v>
      </c>
      <c r="B6" t="s">
        <v>1</v>
      </c>
      <c r="C6">
        <v>4.5999999999999996</v>
      </c>
      <c r="D6">
        <f>VLOOKUP(B6,[1]Sheet2!$A$2:$D$33,2,FALSE)</f>
        <v>2.72</v>
      </c>
      <c r="E6">
        <f>VLOOKUP(B6,[1]Sheet2!$A$2:$D$33,3,FALSE)</f>
        <v>1410</v>
      </c>
      <c r="F6">
        <f>VLOOKUP(B6,[1]Sheet2!$A$2:$D$33,4,FALSE)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2024-12-19T15:25:35Z</dcterms:modified>
</cp:coreProperties>
</file>