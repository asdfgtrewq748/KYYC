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2C6B58DF-79B5-476B-9F1C-2684A854E92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6" i="1"/>
  <c r="G5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E2" i="1"/>
  <c r="F2" i="1"/>
  <c r="D2" i="1"/>
</calcChain>
</file>

<file path=xl/sharedStrings.xml><?xml version="1.0" encoding="utf-8"?>
<sst xmlns="http://schemas.openxmlformats.org/spreadsheetml/2006/main" count="14" uniqueCount="13">
  <si>
    <t>黄土</t>
    <phoneticPr fontId="1" type="noConversion"/>
  </si>
  <si>
    <t>砂质泥岩</t>
    <phoneticPr fontId="1" type="noConversion"/>
  </si>
  <si>
    <t>6-1煤</t>
    <phoneticPr fontId="1" type="noConversion"/>
  </si>
  <si>
    <t>高岭质泥岩</t>
    <phoneticPr fontId="1" type="noConversion"/>
  </si>
  <si>
    <t>中粒砂岩</t>
    <phoneticPr fontId="1" type="noConversion"/>
  </si>
  <si>
    <t>粗粒砂岩</t>
    <phoneticPr fontId="1" type="noConversion"/>
  </si>
  <si>
    <t>含砾粗粒砂岩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</si>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</sst>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4" sqref="G4"/>
    </sheetView>
  </sheetViews>
  <sheetFormatPr defaultRowHeight="13.8" x14ac:dyDescent="0.25"/>
  <cols>
    <col min="2" max="2" width="13.8867187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1"/>
    </row>
    <row r="2" spans="1:7" x14ac:dyDescent="0.25">
      <c r="A2">
        <v>7</v>
      </c>
      <c r="B2" t="s">
        <v>0</v>
      </c>
      <c r="C2">
        <v>98.17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6</v>
      </c>
      <c r="B3" t="s">
        <v>1</v>
      </c>
      <c r="C3">
        <v>22.07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SUM(C4:C8)</f>
        <v>50.94</v>
      </c>
    </row>
    <row r="4" spans="1:7" x14ac:dyDescent="0.25">
      <c r="A4">
        <v>5</v>
      </c>
      <c r="B4" t="s">
        <v>5</v>
      </c>
      <c r="C4">
        <v>5.0199999999999996</v>
      </c>
      <c r="D4">
        <f>VLOOKUP(B4,[1]Sheet2!$A$2:$D$33,2,FALSE)</f>
        <v>11.49</v>
      </c>
      <c r="E4">
        <f>VLOOKUP(B4,[1]Sheet2!$A$2:$D$33,3,FALSE)</f>
        <v>2780</v>
      </c>
      <c r="F4">
        <f>VLOOKUP(B4,[1]Sheet2!$A$2:$D$33,4,FALSE)</f>
        <v>3.0750000000000002</v>
      </c>
    </row>
    <row r="5" spans="1:7" x14ac:dyDescent="0.25">
      <c r="A5">
        <v>4</v>
      </c>
      <c r="B5" s="2" t="s">
        <v>6</v>
      </c>
      <c r="C5" s="2">
        <v>17.72</v>
      </c>
      <c r="D5" s="2">
        <f>VLOOKUP(B5,[1]Sheet2!$A$2:$D$33,2,FALSE)</f>
        <v>11.49</v>
      </c>
      <c r="E5" s="2">
        <f>VLOOKUP(B5,[1]Sheet2!$A$2:$D$33,3,FALSE)</f>
        <v>2780</v>
      </c>
      <c r="F5" s="2">
        <f>VLOOKUP(B5,[1]Sheet2!$A$2:$D$33,4,FALSE)</f>
        <v>1.44</v>
      </c>
      <c r="G5">
        <f>SUM(C2:C4)</f>
        <v>125.26</v>
      </c>
    </row>
    <row r="6" spans="1:7" x14ac:dyDescent="0.25">
      <c r="A6">
        <v>3</v>
      </c>
      <c r="B6" t="s">
        <v>3</v>
      </c>
      <c r="C6">
        <v>7.84</v>
      </c>
      <c r="D6">
        <f>VLOOKUP(B6,[1]Sheet2!$A$2:$D$33,2,FALSE)</f>
        <v>7.17</v>
      </c>
      <c r="E6">
        <f>VLOOKUP(B6,[1]Sheet2!$A$2:$D$33,3,FALSE)</f>
        <v>2680</v>
      </c>
      <c r="F6">
        <f>VLOOKUP(B6,[1]Sheet2!$A$2:$D$33,4,FALSE)</f>
        <v>1.04</v>
      </c>
      <c r="G6">
        <f>SUM(C6:C8)</f>
        <v>28.2</v>
      </c>
    </row>
    <row r="7" spans="1:7" x14ac:dyDescent="0.25">
      <c r="A7">
        <v>2</v>
      </c>
      <c r="B7" t="s">
        <v>4</v>
      </c>
      <c r="C7">
        <v>19.559999999999999</v>
      </c>
      <c r="D7">
        <f>VLOOKUP(B7,[1]Sheet2!$A$2:$D$33,2,FALSE)</f>
        <v>20</v>
      </c>
      <c r="E7">
        <f>VLOOKUP(B7,[1]Sheet2!$A$2:$D$33,3,FALSE)</f>
        <v>2570</v>
      </c>
      <c r="F7">
        <f>VLOOKUP(B7,[1]Sheet2!$A$2:$D$33,4,FALSE)</f>
        <v>2.72</v>
      </c>
    </row>
    <row r="8" spans="1:7" x14ac:dyDescent="0.25">
      <c r="A8">
        <v>1</v>
      </c>
      <c r="B8" t="s">
        <v>3</v>
      </c>
      <c r="C8">
        <v>0.8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1.04</v>
      </c>
    </row>
    <row r="9" spans="1:7" x14ac:dyDescent="0.25">
      <c r="A9">
        <v>0</v>
      </c>
      <c r="B9" t="s">
        <v>2</v>
      </c>
      <c r="C9">
        <v>8.77</v>
      </c>
      <c r="D9">
        <f>VLOOKUP(B9,[1]Sheet2!$A$2:$D$33,2,FALSE)</f>
        <v>2.72</v>
      </c>
      <c r="E9">
        <f>VLOOKUP(B9,[1]Sheet2!$A$2:$D$33,3,FALSE)</f>
        <v>1410</v>
      </c>
      <c r="F9">
        <f>VLOOKUP(B9,[1]Sheet2!$A$2:$D$33,4,FALSE)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2024-12-19T15:33:59Z</dcterms:modified>
</cp:coreProperties>
</file>