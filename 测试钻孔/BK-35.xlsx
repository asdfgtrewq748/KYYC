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1CAE3F22-E901-4E74-A082-072284E5262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7" i="1"/>
  <c r="G16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E2" i="1"/>
  <c r="F2" i="1"/>
  <c r="D2" i="1"/>
</calcChain>
</file>

<file path=xl/sharedStrings.xml><?xml version="1.0" encoding="utf-8"?>
<sst xmlns="http://schemas.openxmlformats.org/spreadsheetml/2006/main" count="27" uniqueCount="18">
  <si>
    <t>砂质泥岩</t>
    <phoneticPr fontId="1" type="noConversion"/>
  </si>
  <si>
    <t>粉砂岩</t>
    <phoneticPr fontId="1" type="noConversion"/>
  </si>
  <si>
    <t>中粒砂岩</t>
    <phoneticPr fontId="1" type="noConversion"/>
  </si>
  <si>
    <t>6煤</t>
    <phoneticPr fontId="1" type="noConversion"/>
  </si>
  <si>
    <t>炭质泥岩</t>
    <phoneticPr fontId="1" type="noConversion"/>
  </si>
  <si>
    <t>粗粒砂岩</t>
    <phoneticPr fontId="1" type="noConversion"/>
  </si>
  <si>
    <t>风化煤</t>
    <phoneticPr fontId="1" type="noConversion"/>
  </si>
  <si>
    <t>砾岩</t>
    <phoneticPr fontId="1" type="noConversion"/>
  </si>
  <si>
    <t>4煤</t>
    <phoneticPr fontId="1" type="noConversion"/>
  </si>
  <si>
    <t>高岭质泥岩</t>
    <phoneticPr fontId="1" type="noConversion"/>
  </si>
  <si>
    <t>细粒砂岩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</si>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</sst>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s="1"/>
    </row>
    <row r="2" spans="1:7" x14ac:dyDescent="0.25">
      <c r="A2">
        <v>20</v>
      </c>
      <c r="B2" t="s">
        <v>11</v>
      </c>
      <c r="C2">
        <v>114.75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19</v>
      </c>
      <c r="B3" t="s">
        <v>0</v>
      </c>
      <c r="C3">
        <v>6.75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SUM(C4:C21)</f>
        <v>95.02</v>
      </c>
    </row>
    <row r="4" spans="1:7" x14ac:dyDescent="0.25">
      <c r="A4">
        <v>18</v>
      </c>
      <c r="B4" t="s">
        <v>10</v>
      </c>
      <c r="C4">
        <v>4.1500000000000004</v>
      </c>
      <c r="D4">
        <f>VLOOKUP(B4,[1]Sheet2!$A$2:$D$33,2,FALSE)</f>
        <v>9.5399999999999991</v>
      </c>
      <c r="E4">
        <f>VLOOKUP(B4,[1]Sheet2!$A$2:$D$33,3,FALSE)</f>
        <v>2830</v>
      </c>
      <c r="F4">
        <f>VLOOKUP(B4,[1]Sheet2!$A$2:$D$33,4,FALSE)</f>
        <v>2.0499999999999998</v>
      </c>
    </row>
    <row r="5" spans="1:7" x14ac:dyDescent="0.25">
      <c r="A5">
        <v>17</v>
      </c>
      <c r="B5" t="s">
        <v>9</v>
      </c>
      <c r="C5">
        <v>1.1299999999999999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1.04</v>
      </c>
    </row>
    <row r="6" spans="1:7" x14ac:dyDescent="0.25">
      <c r="A6">
        <v>16</v>
      </c>
      <c r="B6" t="s">
        <v>2</v>
      </c>
      <c r="C6">
        <v>5.73</v>
      </c>
      <c r="D6">
        <f>VLOOKUP(B6,[1]Sheet2!$A$2:$D$33,2,FALSE)</f>
        <v>20</v>
      </c>
      <c r="E6">
        <f>VLOOKUP(B6,[1]Sheet2!$A$2:$D$33,3,FALSE)</f>
        <v>2570</v>
      </c>
      <c r="F6">
        <f>VLOOKUP(B6,[1]Sheet2!$A$2:$D$33,4,FALSE)</f>
        <v>2.72</v>
      </c>
    </row>
    <row r="7" spans="1:7" x14ac:dyDescent="0.25">
      <c r="A7">
        <v>15</v>
      </c>
      <c r="B7" t="s">
        <v>0</v>
      </c>
      <c r="C7">
        <v>5.97</v>
      </c>
      <c r="D7">
        <f>VLOOKUP(B7,[1]Sheet2!$A$2:$D$33,2,FALSE)</f>
        <v>7.17</v>
      </c>
      <c r="E7">
        <f>VLOOKUP(B7,[1]Sheet2!$A$2:$D$33,3,FALSE)</f>
        <v>2680</v>
      </c>
      <c r="F7">
        <f>VLOOKUP(B7,[1]Sheet2!$A$2:$D$33,4,FALSE)</f>
        <v>1.32</v>
      </c>
    </row>
    <row r="8" spans="1:7" x14ac:dyDescent="0.25">
      <c r="A8">
        <v>14</v>
      </c>
      <c r="B8" t="s">
        <v>1</v>
      </c>
      <c r="C8">
        <v>2.0099999999999998</v>
      </c>
      <c r="D8">
        <f>VLOOKUP(B8,[1]Sheet2!$A$2:$D$33,2,FALSE)</f>
        <v>10.199999999999999</v>
      </c>
      <c r="E8">
        <f>VLOOKUP(B8,[1]Sheet2!$A$2:$D$33,3,FALSE)</f>
        <v>2590</v>
      </c>
      <c r="F8">
        <f>VLOOKUP(B8,[1]Sheet2!$A$2:$D$33,4,FALSE)</f>
        <v>2.6</v>
      </c>
    </row>
    <row r="9" spans="1:7" x14ac:dyDescent="0.25">
      <c r="A9">
        <v>13</v>
      </c>
      <c r="B9" t="s">
        <v>0</v>
      </c>
      <c r="C9">
        <v>12.03</v>
      </c>
      <c r="D9">
        <f>VLOOKUP(B9,[1]Sheet2!$A$2:$D$33,2,FALSE)</f>
        <v>7.17</v>
      </c>
      <c r="E9">
        <f>VLOOKUP(B9,[1]Sheet2!$A$2:$D$33,3,FALSE)</f>
        <v>2680</v>
      </c>
      <c r="F9">
        <f>VLOOKUP(B9,[1]Sheet2!$A$2:$D$33,4,FALSE)</f>
        <v>1.32</v>
      </c>
    </row>
    <row r="10" spans="1:7" x14ac:dyDescent="0.25">
      <c r="A10">
        <v>12</v>
      </c>
      <c r="B10" t="s">
        <v>4</v>
      </c>
      <c r="C10">
        <v>1.53</v>
      </c>
      <c r="D10">
        <f>VLOOKUP(B10,[1]Sheet2!$A$2:$D$33,2,FALSE)</f>
        <v>7.17</v>
      </c>
      <c r="E10">
        <f>VLOOKUP(B10,[1]Sheet2!$A$2:$D$33,3,FALSE)</f>
        <v>2680</v>
      </c>
      <c r="F10">
        <f>VLOOKUP(B10,[1]Sheet2!$A$2:$D$33,4,FALSE)</f>
        <v>1.32</v>
      </c>
    </row>
    <row r="11" spans="1:7" x14ac:dyDescent="0.25">
      <c r="A11">
        <v>11</v>
      </c>
      <c r="B11" t="s">
        <v>1</v>
      </c>
      <c r="C11">
        <v>0.42</v>
      </c>
      <c r="D11">
        <f>VLOOKUP(B11,[1]Sheet2!$A$2:$D$33,2,FALSE)</f>
        <v>10.199999999999999</v>
      </c>
      <c r="E11">
        <f>VLOOKUP(B11,[1]Sheet2!$A$2:$D$33,3,FALSE)</f>
        <v>2590</v>
      </c>
      <c r="F11">
        <f>VLOOKUP(B11,[1]Sheet2!$A$2:$D$33,4,FALSE)</f>
        <v>2.6</v>
      </c>
    </row>
    <row r="12" spans="1:7" x14ac:dyDescent="0.25">
      <c r="A12">
        <v>10</v>
      </c>
      <c r="B12" t="s">
        <v>8</v>
      </c>
      <c r="C12">
        <v>3.81</v>
      </c>
      <c r="D12">
        <f>VLOOKUP(B12,[1]Sheet2!$A$2:$D$33,2,FALSE)</f>
        <v>2.72</v>
      </c>
      <c r="E12">
        <f>VLOOKUP(B12,[1]Sheet2!$A$2:$D$33,3,FALSE)</f>
        <v>1410</v>
      </c>
      <c r="F12">
        <f>VLOOKUP(B12,[1]Sheet2!$A$2:$D$33,4,FALSE)</f>
        <v>0.83</v>
      </c>
    </row>
    <row r="13" spans="1:7" x14ac:dyDescent="0.25">
      <c r="A13">
        <v>9</v>
      </c>
      <c r="B13" t="s">
        <v>0</v>
      </c>
      <c r="C13">
        <v>3.82</v>
      </c>
      <c r="D13">
        <f>VLOOKUP(B13,[1]Sheet2!$A$2:$D$33,2,FALSE)</f>
        <v>7.17</v>
      </c>
      <c r="E13">
        <f>VLOOKUP(B13,[1]Sheet2!$A$2:$D$33,3,FALSE)</f>
        <v>2680</v>
      </c>
      <c r="F13">
        <f>VLOOKUP(B13,[1]Sheet2!$A$2:$D$33,4,FALSE)</f>
        <v>1.32</v>
      </c>
    </row>
    <row r="14" spans="1:7" x14ac:dyDescent="0.25">
      <c r="A14">
        <v>8</v>
      </c>
      <c r="B14" t="s">
        <v>7</v>
      </c>
      <c r="C14">
        <v>3.73</v>
      </c>
      <c r="D14">
        <f>VLOOKUP(B14,[1]Sheet2!$A$2:$D$33,2,FALSE)</f>
        <v>3.04</v>
      </c>
      <c r="E14">
        <f>VLOOKUP(B14,[1]Sheet2!$A$2:$D$33,3,FALSE)</f>
        <v>2520</v>
      </c>
      <c r="F14">
        <f>VLOOKUP(B14,[1]Sheet2!$A$2:$D$33,4,FALSE)</f>
        <v>1</v>
      </c>
    </row>
    <row r="15" spans="1:7" x14ac:dyDescent="0.25">
      <c r="A15">
        <v>7</v>
      </c>
      <c r="B15" t="s">
        <v>0</v>
      </c>
      <c r="C15">
        <v>9.08</v>
      </c>
      <c r="D15">
        <f>VLOOKUP(B15,[1]Sheet2!$A$2:$D$33,2,FALSE)</f>
        <v>7.17</v>
      </c>
      <c r="E15">
        <f>VLOOKUP(B15,[1]Sheet2!$A$2:$D$33,3,FALSE)</f>
        <v>2680</v>
      </c>
      <c r="F15">
        <f>VLOOKUP(B15,[1]Sheet2!$A$2:$D$33,4,FALSE)</f>
        <v>1.32</v>
      </c>
    </row>
    <row r="16" spans="1:7" x14ac:dyDescent="0.25">
      <c r="A16">
        <v>6</v>
      </c>
      <c r="B16" s="2" t="s">
        <v>5</v>
      </c>
      <c r="C16" s="2">
        <v>14.66</v>
      </c>
      <c r="D16" s="2">
        <f>VLOOKUP(B16,[1]Sheet2!$A$2:$D$33,2,FALSE)</f>
        <v>11.49</v>
      </c>
      <c r="E16" s="2">
        <f>VLOOKUP(B16,[1]Sheet2!$A$2:$D$33,3,FALSE)</f>
        <v>2780</v>
      </c>
      <c r="F16" s="2">
        <f>VLOOKUP(B16,[1]Sheet2!$A$2:$D$33,4,FALSE)</f>
        <v>3.0750000000000002</v>
      </c>
      <c r="G16">
        <f>SUM(C2:C15)</f>
        <v>174.90999999999997</v>
      </c>
    </row>
    <row r="17" spans="1:7" x14ac:dyDescent="0.25">
      <c r="A17">
        <v>5</v>
      </c>
      <c r="B17" t="s">
        <v>6</v>
      </c>
      <c r="C17">
        <v>1.62</v>
      </c>
      <c r="D17">
        <f>VLOOKUP(B17,[1]Sheet2!$A$2:$D$33,2,FALSE)</f>
        <v>2.72</v>
      </c>
      <c r="E17">
        <f>VLOOKUP(B17,[1]Sheet2!$A$2:$D$33,3,FALSE)</f>
        <v>1410</v>
      </c>
      <c r="F17">
        <f>VLOOKUP(B17,[1]Sheet2!$A$2:$D$33,4,FALSE)</f>
        <v>0.83</v>
      </c>
      <c r="G17">
        <f>SUM(C17:C21)</f>
        <v>26.950000000000003</v>
      </c>
    </row>
    <row r="18" spans="1:7" x14ac:dyDescent="0.25">
      <c r="A18">
        <v>4</v>
      </c>
      <c r="B18" t="s">
        <v>0</v>
      </c>
      <c r="C18">
        <v>4.3499999999999996</v>
      </c>
      <c r="D18">
        <f>VLOOKUP(B18,[1]Sheet2!$A$2:$D$33,2,FALSE)</f>
        <v>7.17</v>
      </c>
      <c r="E18">
        <f>VLOOKUP(B18,[1]Sheet2!$A$2:$D$33,3,FALSE)</f>
        <v>2680</v>
      </c>
      <c r="F18">
        <f>VLOOKUP(B18,[1]Sheet2!$A$2:$D$33,4,FALSE)</f>
        <v>1.32</v>
      </c>
    </row>
    <row r="19" spans="1:7" x14ac:dyDescent="0.25">
      <c r="A19">
        <v>3</v>
      </c>
      <c r="B19" t="s">
        <v>5</v>
      </c>
      <c r="C19">
        <v>18.920000000000002</v>
      </c>
      <c r="D19">
        <f>VLOOKUP(B19,[1]Sheet2!$A$2:$D$33,2,FALSE)</f>
        <v>11.49</v>
      </c>
      <c r="E19">
        <f>VLOOKUP(B19,[1]Sheet2!$A$2:$D$33,3,FALSE)</f>
        <v>2780</v>
      </c>
      <c r="F19">
        <f>VLOOKUP(B19,[1]Sheet2!$A$2:$D$33,4,FALSE)</f>
        <v>3.0750000000000002</v>
      </c>
    </row>
    <row r="20" spans="1:7" x14ac:dyDescent="0.25">
      <c r="A20">
        <v>2</v>
      </c>
      <c r="B20" t="s">
        <v>1</v>
      </c>
      <c r="C20">
        <v>1.46</v>
      </c>
      <c r="D20">
        <f>VLOOKUP(B20,[1]Sheet2!$A$2:$D$33,2,FALSE)</f>
        <v>10.199999999999999</v>
      </c>
      <c r="E20">
        <f>VLOOKUP(B20,[1]Sheet2!$A$2:$D$33,3,FALSE)</f>
        <v>2590</v>
      </c>
      <c r="F20">
        <f>VLOOKUP(B20,[1]Sheet2!$A$2:$D$33,4,FALSE)</f>
        <v>2.6</v>
      </c>
    </row>
    <row r="21" spans="1:7" x14ac:dyDescent="0.25">
      <c r="A21">
        <v>1</v>
      </c>
      <c r="B21" t="s">
        <v>4</v>
      </c>
      <c r="C21">
        <v>0.6</v>
      </c>
      <c r="D21">
        <f>VLOOKUP(B21,[1]Sheet2!$A$2:$D$33,2,FALSE)</f>
        <v>7.17</v>
      </c>
      <c r="E21">
        <f>VLOOKUP(B21,[1]Sheet2!$A$2:$D$33,3,FALSE)</f>
        <v>2680</v>
      </c>
      <c r="F21">
        <f>VLOOKUP(B21,[1]Sheet2!$A$2:$D$33,4,FALSE)</f>
        <v>1.32</v>
      </c>
    </row>
    <row r="22" spans="1:7" x14ac:dyDescent="0.25">
      <c r="A22">
        <v>0</v>
      </c>
      <c r="B22" t="s">
        <v>3</v>
      </c>
      <c r="C22">
        <v>17.59</v>
      </c>
      <c r="D22">
        <f>VLOOKUP(B22,[1]Sheet2!$A$2:$D$33,2,FALSE)</f>
        <v>2.72</v>
      </c>
      <c r="E22">
        <f>VLOOKUP(B22,[1]Sheet2!$A$2:$D$33,3,FALSE)</f>
        <v>1410</v>
      </c>
      <c r="F22">
        <f>VLOOKUP(B22,[1]Sheet2!$A$2:$D$33,4,FALSE)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2024-12-19T15:34:54Z</dcterms:modified>
</cp:coreProperties>
</file>