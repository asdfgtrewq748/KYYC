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15CB4FE5-AABF-4589-A3A2-B041F18075A3}" xr6:coauthVersionLast="47" xr6:coauthVersionMax="47" xr10:uidLastSave="{00000000-0000-0000-0000-000000000000}"/>
  <bookViews>
    <workbookView xWindow="9948" yWindow="1104" windowWidth="17280" windowHeight="8964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F2" i="1"/>
  <c r="E2" i="1"/>
  <c r="D2" i="1"/>
</calcChain>
</file>

<file path=xl/sharedStrings.xml><?xml version="1.0" encoding="utf-8"?>
<sst xmlns="http://schemas.openxmlformats.org/spreadsheetml/2006/main" count="18" uniqueCount="13">
  <si>
    <t>粗粒砂岩</t>
    <phoneticPr fontId="1" type="noConversion"/>
  </si>
  <si>
    <t>砂质泥岩</t>
    <phoneticPr fontId="1" type="noConversion"/>
  </si>
  <si>
    <t>泥岩</t>
    <phoneticPr fontId="1" type="noConversion"/>
  </si>
  <si>
    <t>中粒砂岩</t>
    <phoneticPr fontId="1" type="noConversion"/>
  </si>
  <si>
    <t>6煤</t>
    <phoneticPr fontId="1" type="noConversion"/>
  </si>
  <si>
    <t>高岭质泥岩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</si>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</sst>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5" sqref="E5"/>
    </sheetView>
  </sheetViews>
  <sheetFormatPr defaultRowHeight="13.8" x14ac:dyDescent="0.25"/>
  <cols>
    <col min="2" max="2" width="11.6640625" bestFit="1" customWidth="1"/>
  </cols>
  <sheetData>
    <row r="1" spans="1: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s="1"/>
    </row>
    <row r="2" spans="1:7" x14ac:dyDescent="0.25">
      <c r="A2">
        <v>11</v>
      </c>
      <c r="B2" t="s">
        <v>6</v>
      </c>
      <c r="C2">
        <v>102.15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10</v>
      </c>
      <c r="B3" t="s">
        <v>3</v>
      </c>
      <c r="C3">
        <v>3.69</v>
      </c>
      <c r="D3">
        <f>VLOOKUP(B3,[1]Sheet2!$A$2:$D$33,2,FALSE)</f>
        <v>20</v>
      </c>
      <c r="E3">
        <f>VLOOKUP(B3,[1]Sheet2!$A$2:$D$33,3,FALSE)</f>
        <v>2570</v>
      </c>
      <c r="F3">
        <f>VLOOKUP(B3,[1]Sheet2!$A$2:$D$33,4,FALSE)</f>
        <v>2.72</v>
      </c>
      <c r="G3">
        <f>SUM(C3:C12)</f>
        <v>62.27</v>
      </c>
    </row>
    <row r="4" spans="1:7" x14ac:dyDescent="0.25">
      <c r="A4">
        <v>9</v>
      </c>
      <c r="B4" t="s">
        <v>5</v>
      </c>
      <c r="C4">
        <v>5.23</v>
      </c>
      <c r="D4">
        <f>VLOOKUP(B4,[1]Sheet2!$A$2:$D$33,2,FALSE)</f>
        <v>7.17</v>
      </c>
      <c r="E4">
        <f>VLOOKUP(B4,[1]Sheet2!$A$2:$D$33,3,FALSE)</f>
        <v>2680</v>
      </c>
      <c r="F4">
        <f>VLOOKUP(B4,[1]Sheet2!$A$2:$D$33,4,FALSE)</f>
        <v>1.04</v>
      </c>
    </row>
    <row r="5" spans="1:7" x14ac:dyDescent="0.25">
      <c r="A5">
        <v>8</v>
      </c>
      <c r="B5" t="s">
        <v>2</v>
      </c>
      <c r="C5">
        <v>1.32</v>
      </c>
      <c r="D5">
        <f>VLOOKUP(B5,[1]Sheet2!$A$2:$D$33,2,FALSE)</f>
        <v>7.17</v>
      </c>
      <c r="E5">
        <f>VLOOKUP(B5,[1]Sheet2!$A$2:$D$33,3,FALSE)</f>
        <v>2680</v>
      </c>
      <c r="F5">
        <f>VLOOKUP(B5,[1]Sheet2!$A$2:$D$33,4,FALSE)</f>
        <v>1.32</v>
      </c>
    </row>
    <row r="6" spans="1:7" x14ac:dyDescent="0.25">
      <c r="A6">
        <v>7</v>
      </c>
      <c r="B6" t="s">
        <v>1</v>
      </c>
      <c r="C6">
        <v>2.56</v>
      </c>
      <c r="D6">
        <f>VLOOKUP(B6,[1]Sheet2!$A$2:$D$33,2,FALSE)</f>
        <v>7.17</v>
      </c>
      <c r="E6">
        <f>VLOOKUP(B6,[1]Sheet2!$A$2:$D$33,3,FALSE)</f>
        <v>2680</v>
      </c>
      <c r="F6">
        <f>VLOOKUP(B6,[1]Sheet2!$A$2:$D$33,4,FALSE)</f>
        <v>1.32</v>
      </c>
    </row>
    <row r="7" spans="1:7" x14ac:dyDescent="0.25">
      <c r="A7">
        <v>6</v>
      </c>
      <c r="B7" t="s">
        <v>5</v>
      </c>
      <c r="C7">
        <v>3.51</v>
      </c>
      <c r="D7">
        <f>VLOOKUP(B7,[1]Sheet2!$A$2:$D$33,2,FALSE)</f>
        <v>7.17</v>
      </c>
      <c r="E7">
        <f>VLOOKUP(B7,[1]Sheet2!$A$2:$D$33,3,FALSE)</f>
        <v>2680</v>
      </c>
      <c r="F7">
        <f>VLOOKUP(B7,[1]Sheet2!$A$2:$D$33,4,FALSE)</f>
        <v>1.04</v>
      </c>
    </row>
    <row r="8" spans="1:7" x14ac:dyDescent="0.25">
      <c r="A8">
        <v>5</v>
      </c>
      <c r="B8" t="s">
        <v>3</v>
      </c>
      <c r="C8">
        <v>20.92</v>
      </c>
      <c r="D8">
        <f>VLOOKUP(B8,[1]Sheet2!$A$2:$D$33,2,FALSE)</f>
        <v>20</v>
      </c>
      <c r="E8">
        <f>VLOOKUP(B8,[1]Sheet2!$A$2:$D$33,3,FALSE)</f>
        <v>2570</v>
      </c>
      <c r="F8">
        <f>VLOOKUP(B8,[1]Sheet2!$A$2:$D$33,4,FALSE)</f>
        <v>2.72</v>
      </c>
    </row>
    <row r="9" spans="1:7" x14ac:dyDescent="0.25">
      <c r="A9">
        <v>4</v>
      </c>
      <c r="B9" t="s">
        <v>2</v>
      </c>
      <c r="C9">
        <v>3.32</v>
      </c>
      <c r="D9">
        <f>VLOOKUP(B9,[1]Sheet2!$A$2:$D$33,2,FALSE)</f>
        <v>7.17</v>
      </c>
      <c r="E9">
        <f>VLOOKUP(B9,[1]Sheet2!$A$2:$D$33,3,FALSE)</f>
        <v>2680</v>
      </c>
      <c r="F9">
        <f>VLOOKUP(B9,[1]Sheet2!$A$2:$D$33,4,FALSE)</f>
        <v>1.32</v>
      </c>
    </row>
    <row r="10" spans="1:7" x14ac:dyDescent="0.25">
      <c r="A10">
        <v>3</v>
      </c>
      <c r="B10" t="s">
        <v>1</v>
      </c>
      <c r="C10">
        <v>2.74</v>
      </c>
      <c r="D10">
        <f>VLOOKUP(B10,[1]Sheet2!$A$2:$D$33,2,FALSE)</f>
        <v>7.17</v>
      </c>
      <c r="E10">
        <f>VLOOKUP(B10,[1]Sheet2!$A$2:$D$33,3,FALSE)</f>
        <v>2680</v>
      </c>
      <c r="F10">
        <f>VLOOKUP(B10,[1]Sheet2!$A$2:$D$33,4,FALSE)</f>
        <v>1.32</v>
      </c>
    </row>
    <row r="11" spans="1:7" x14ac:dyDescent="0.25">
      <c r="A11">
        <v>2</v>
      </c>
      <c r="B11" t="s">
        <v>0</v>
      </c>
      <c r="C11">
        <v>17.02</v>
      </c>
      <c r="D11">
        <f>VLOOKUP(B11,[1]Sheet2!$A$2:$D$33,2,FALSE)</f>
        <v>11.49</v>
      </c>
      <c r="E11">
        <f>VLOOKUP(B11,[1]Sheet2!$A$2:$D$33,3,FALSE)</f>
        <v>2780</v>
      </c>
      <c r="F11">
        <f>VLOOKUP(B11,[1]Sheet2!$A$2:$D$33,4,FALSE)</f>
        <v>3.0750000000000002</v>
      </c>
    </row>
    <row r="12" spans="1:7" x14ac:dyDescent="0.25">
      <c r="A12">
        <v>1</v>
      </c>
      <c r="B12" t="s">
        <v>1</v>
      </c>
      <c r="C12">
        <v>1.96</v>
      </c>
      <c r="D12">
        <f>VLOOKUP(B12,[1]Sheet2!$A$2:$D$33,2,FALSE)</f>
        <v>7.17</v>
      </c>
      <c r="E12">
        <f>VLOOKUP(B12,[1]Sheet2!$A$2:$D$33,3,FALSE)</f>
        <v>2680</v>
      </c>
      <c r="F12">
        <f>VLOOKUP(B12,[1]Sheet2!$A$2:$D$33,4,FALSE)</f>
        <v>1.32</v>
      </c>
    </row>
    <row r="13" spans="1:7" x14ac:dyDescent="0.25">
      <c r="A13">
        <v>0</v>
      </c>
      <c r="B13" t="s">
        <v>4</v>
      </c>
      <c r="C13">
        <v>14.82</v>
      </c>
      <c r="D13">
        <f>VLOOKUP(B13,[1]Sheet2!$A$2:$D$33,2,FALSE)</f>
        <v>2.72</v>
      </c>
      <c r="E13">
        <f>VLOOKUP(B13,[1]Sheet2!$A$2:$D$33,3,FALSE)</f>
        <v>1410</v>
      </c>
      <c r="F13">
        <f>VLOOKUP(B13,[1]Sheet2!$A$2:$D$33,4,FALSE)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2024-12-19T15:27:46Z</dcterms:modified>
</cp:coreProperties>
</file>