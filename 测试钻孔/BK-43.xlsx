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55D9592C-F5EA-43F2-8E18-C44D1DB8BD15}" xr6:coauthVersionLast="47" xr6:coauthVersionMax="47" xr10:uidLastSave="{00000000-0000-0000-0000-000000000000}"/>
  <bookViews>
    <workbookView xWindow="1128" yWindow="1440" windowWidth="17280" windowHeight="8964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F2" i="1"/>
  <c r="E2" i="1"/>
  <c r="D2" i="1"/>
</calcChain>
</file>

<file path=xl/sharedStrings.xml><?xml version="1.0" encoding="utf-8"?>
<sst xmlns="http://schemas.openxmlformats.org/spreadsheetml/2006/main" count="14" uniqueCount="13">
  <si>
    <t>砂质泥岩</t>
    <phoneticPr fontId="1" type="noConversion"/>
  </si>
  <si>
    <t>细粒砂岩</t>
    <phoneticPr fontId="1" type="noConversion"/>
  </si>
  <si>
    <t>6-1煤</t>
    <phoneticPr fontId="1" type="noConversion"/>
  </si>
  <si>
    <t>中粒砂岩</t>
    <phoneticPr fontId="1" type="noConversion"/>
  </si>
  <si>
    <t>高岭质泥岩</t>
    <phoneticPr fontId="1" type="noConversion"/>
  </si>
  <si>
    <t>含砾中砂岩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</si>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</sst>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5" sqref="G5"/>
    </sheetView>
  </sheetViews>
  <sheetFormatPr defaultRowHeight="13.8" x14ac:dyDescent="0.25"/>
  <cols>
    <col min="2" max="2" width="11.664062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1"/>
    </row>
    <row r="2" spans="1:7" x14ac:dyDescent="0.25">
      <c r="A2">
        <v>7</v>
      </c>
      <c r="B2" s="1" t="s">
        <v>6</v>
      </c>
      <c r="C2" s="1">
        <v>94.5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6</v>
      </c>
      <c r="B3" s="2" t="s">
        <v>5</v>
      </c>
      <c r="C3" s="2">
        <v>14.2</v>
      </c>
      <c r="D3" s="3">
        <f>VLOOKUP(B3,[1]Sheet2!$A$2:$D$33,2,FALSE)</f>
        <v>20</v>
      </c>
      <c r="E3" s="3">
        <f>VLOOKUP(B3,[1]Sheet2!$A$2:$D$33,3,FALSE)</f>
        <v>2570</v>
      </c>
      <c r="F3" s="3">
        <f>VLOOKUP(B3,[1]Sheet2!$A$2:$D$33,4,FALSE)</f>
        <v>2.72</v>
      </c>
    </row>
    <row r="4" spans="1:7" x14ac:dyDescent="0.25">
      <c r="A4">
        <v>5</v>
      </c>
      <c r="B4" s="1" t="s">
        <v>3</v>
      </c>
      <c r="C4" s="1">
        <v>4.03</v>
      </c>
      <c r="D4">
        <f>VLOOKUP(B4,[1]Sheet2!$A$2:$D$33,2,FALSE)</f>
        <v>20</v>
      </c>
      <c r="E4">
        <f>VLOOKUP(B4,[1]Sheet2!$A$2:$D$33,3,FALSE)</f>
        <v>2570</v>
      </c>
      <c r="F4">
        <f>VLOOKUP(B4,[1]Sheet2!$A$2:$D$33,4,FALSE)</f>
        <v>2.72</v>
      </c>
      <c r="G4">
        <f>SUM(C4:C8)</f>
        <v>34.840000000000003</v>
      </c>
    </row>
    <row r="5" spans="1:7" x14ac:dyDescent="0.25">
      <c r="A5">
        <v>4</v>
      </c>
      <c r="B5" s="1" t="s">
        <v>4</v>
      </c>
      <c r="C5" s="1">
        <v>6.68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1.04</v>
      </c>
    </row>
    <row r="6" spans="1:7" x14ac:dyDescent="0.25">
      <c r="A6">
        <v>3</v>
      </c>
      <c r="B6" s="1" t="s">
        <v>3</v>
      </c>
      <c r="C6" s="1">
        <v>16.53</v>
      </c>
      <c r="D6">
        <f>VLOOKUP(B6,[1]Sheet2!$A$2:$D$33,2,FALSE)</f>
        <v>20</v>
      </c>
      <c r="E6">
        <f>VLOOKUP(B6,[1]Sheet2!$A$2:$D$33,3,FALSE)</f>
        <v>2570</v>
      </c>
      <c r="F6">
        <f>VLOOKUP(B6,[1]Sheet2!$A$2:$D$33,4,FALSE)</f>
        <v>2.72</v>
      </c>
    </row>
    <row r="7" spans="1:7" x14ac:dyDescent="0.25">
      <c r="A7">
        <v>2</v>
      </c>
      <c r="B7" s="1" t="s">
        <v>1</v>
      </c>
      <c r="C7" s="1">
        <v>4.28</v>
      </c>
      <c r="D7">
        <f>VLOOKUP(B7,[1]Sheet2!$A$2:$D$33,2,FALSE)</f>
        <v>9.5399999999999991</v>
      </c>
      <c r="E7">
        <f>VLOOKUP(B7,[1]Sheet2!$A$2:$D$33,3,FALSE)</f>
        <v>2830</v>
      </c>
      <c r="F7">
        <f>VLOOKUP(B7,[1]Sheet2!$A$2:$D$33,4,FALSE)</f>
        <v>2.0499999999999998</v>
      </c>
    </row>
    <row r="8" spans="1:7" x14ac:dyDescent="0.25">
      <c r="A8">
        <v>1</v>
      </c>
      <c r="B8" s="1" t="s">
        <v>0</v>
      </c>
      <c r="C8" s="1">
        <v>3.32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1.32</v>
      </c>
    </row>
    <row r="9" spans="1:7" x14ac:dyDescent="0.25">
      <c r="A9">
        <v>0</v>
      </c>
      <c r="B9" s="1" t="s">
        <v>2</v>
      </c>
      <c r="C9" s="1">
        <v>8.8800000000000008</v>
      </c>
      <c r="D9">
        <f>VLOOKUP(B9,[1]Sheet2!$A$2:$D$33,2,FALSE)</f>
        <v>2.72</v>
      </c>
      <c r="E9">
        <f>VLOOKUP(B9,[1]Sheet2!$A$2:$D$33,3,FALSE)</f>
        <v>1410</v>
      </c>
      <c r="F9">
        <f>VLOOKUP(B9,[1]Sheet2!$A$2:$D$33,4,FALSE)</f>
        <v>0.83</v>
      </c>
    </row>
    <row r="10" spans="1:7" x14ac:dyDescent="0.25">
      <c r="B10" s="1"/>
      <c r="C10" s="1"/>
    </row>
    <row r="11" spans="1:7" x14ac:dyDescent="0.25">
      <c r="B11" s="1"/>
      <c r="C11" s="1"/>
    </row>
    <row r="12" spans="1:7" x14ac:dyDescent="0.25">
      <c r="B12" s="1"/>
      <c r="C12" s="1"/>
    </row>
    <row r="13" spans="1:7" x14ac:dyDescent="0.25">
      <c r="B13" s="1"/>
      <c r="C13" s="1"/>
    </row>
    <row r="14" spans="1:7" x14ac:dyDescent="0.25">
      <c r="B14" s="1"/>
      <c r="C14" s="1"/>
    </row>
    <row r="15" spans="1:7" x14ac:dyDescent="0.25">
      <c r="B15" s="1"/>
      <c r="C15" s="1"/>
    </row>
    <row r="16" spans="1:7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  <row r="20" spans="2:3" x14ac:dyDescent="0.25">
      <c r="B20" s="1"/>
      <c r="C20" s="1"/>
    </row>
    <row r="21" spans="2:3" x14ac:dyDescent="0.25">
      <c r="B21" s="1"/>
      <c r="C21" s="1"/>
    </row>
    <row r="22" spans="2:3" x14ac:dyDescent="0.25">
      <c r="B22" s="1"/>
      <c r="C22" s="1"/>
    </row>
    <row r="23" spans="2:3" x14ac:dyDescent="0.25">
      <c r="B23" s="1"/>
      <c r="C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2024-12-13T15:07:30Z</dcterms:modified>
</cp:coreProperties>
</file>