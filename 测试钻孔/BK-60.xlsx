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11903F7F-3D5E-40B6-8697-44D3EF6ADEE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6" i="1"/>
  <c r="G5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F2" i="1"/>
  <c r="E2" i="1"/>
  <c r="D2" i="1"/>
</calcChain>
</file>

<file path=xl/sharedStrings.xml><?xml version="1.0" encoding="utf-8"?>
<sst xmlns="http://schemas.openxmlformats.org/spreadsheetml/2006/main" count="14" uniqueCount="11">
  <si>
    <t>砂质泥岩</t>
    <phoneticPr fontId="1" type="noConversion"/>
  </si>
  <si>
    <t>中粒砂岩</t>
    <phoneticPr fontId="1" type="noConversion"/>
  </si>
  <si>
    <t>6煤</t>
    <phoneticPr fontId="1" type="noConversion"/>
  </si>
  <si>
    <t>细粒砂岩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</si>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</sst>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4" sqref="G4"/>
    </sheetView>
  </sheetViews>
  <sheetFormatPr defaultRowHeight="13.8" x14ac:dyDescent="0.2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7" x14ac:dyDescent="0.25">
      <c r="A2">
        <v>7</v>
      </c>
      <c r="B2" t="s">
        <v>4</v>
      </c>
      <c r="C2">
        <v>103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6</v>
      </c>
      <c r="B3" t="s">
        <v>0</v>
      </c>
      <c r="C3">
        <v>13.56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  <c r="G3">
        <f>SUM(C4:C8)</f>
        <v>50.339999999999996</v>
      </c>
    </row>
    <row r="4" spans="1:7" x14ac:dyDescent="0.25">
      <c r="A4">
        <v>5</v>
      </c>
      <c r="B4" t="s">
        <v>0</v>
      </c>
      <c r="C4">
        <v>4.7300000000000004</v>
      </c>
      <c r="D4">
        <f>VLOOKUP(B4,[1]Sheet2!$A$2:$D$33,2,FALSE)</f>
        <v>7.17</v>
      </c>
      <c r="E4">
        <f>VLOOKUP(B4,[1]Sheet2!$A$2:$D$33,3,FALSE)</f>
        <v>2680</v>
      </c>
      <c r="F4">
        <f>VLOOKUP(B4,[1]Sheet2!$A$2:$D$33,4,FALSE)</f>
        <v>1.32</v>
      </c>
    </row>
    <row r="5" spans="1:7" x14ac:dyDescent="0.25">
      <c r="A5">
        <v>4</v>
      </c>
      <c r="B5" s="1" t="s">
        <v>3</v>
      </c>
      <c r="C5" s="1">
        <v>18.149999999999999</v>
      </c>
      <c r="D5" s="1">
        <f>VLOOKUP(B5,[1]Sheet2!$A$2:$D$33,2,FALSE)</f>
        <v>9.5399999999999991</v>
      </c>
      <c r="E5" s="1">
        <f>VLOOKUP(B5,[1]Sheet2!$A$2:$D$33,3,FALSE)</f>
        <v>2830</v>
      </c>
      <c r="F5" s="1">
        <f>VLOOKUP(B5,[1]Sheet2!$A$2:$D$33,4,FALSE)</f>
        <v>2.0499999999999998</v>
      </c>
      <c r="G5">
        <f>SUM(C2:C4)</f>
        <v>121.29</v>
      </c>
    </row>
    <row r="6" spans="1:7" x14ac:dyDescent="0.25">
      <c r="A6">
        <v>3</v>
      </c>
      <c r="B6" t="s">
        <v>0</v>
      </c>
      <c r="C6">
        <v>4.7</v>
      </c>
      <c r="D6">
        <f>VLOOKUP(B6,[1]Sheet2!$A$2:$D$33,2,FALSE)</f>
        <v>7.17</v>
      </c>
      <c r="E6">
        <f>VLOOKUP(B6,[1]Sheet2!$A$2:$D$33,3,FALSE)</f>
        <v>2680</v>
      </c>
      <c r="F6">
        <f>VLOOKUP(B6,[1]Sheet2!$A$2:$D$33,4,FALSE)</f>
        <v>1.32</v>
      </c>
      <c r="G6">
        <f>SUM(C6:C8)</f>
        <v>27.459999999999997</v>
      </c>
    </row>
    <row r="7" spans="1:7" x14ac:dyDescent="0.25">
      <c r="A7">
        <v>2</v>
      </c>
      <c r="B7" t="s">
        <v>1</v>
      </c>
      <c r="C7">
        <v>18.72</v>
      </c>
      <c r="D7">
        <f>VLOOKUP(B7,[1]Sheet2!$A$2:$D$33,2,FALSE)</f>
        <v>20</v>
      </c>
      <c r="E7">
        <f>VLOOKUP(B7,[1]Sheet2!$A$2:$D$33,3,FALSE)</f>
        <v>2570</v>
      </c>
      <c r="F7">
        <f>VLOOKUP(B7,[1]Sheet2!$A$2:$D$33,4,FALSE)</f>
        <v>2.72</v>
      </c>
    </row>
    <row r="8" spans="1:7" x14ac:dyDescent="0.25">
      <c r="A8">
        <v>1</v>
      </c>
      <c r="B8" t="s">
        <v>0</v>
      </c>
      <c r="C8">
        <v>4.04</v>
      </c>
      <c r="D8">
        <f>VLOOKUP(B8,[1]Sheet2!$A$2:$D$33,2,FALSE)</f>
        <v>7.17</v>
      </c>
      <c r="E8">
        <f>VLOOKUP(B8,[1]Sheet2!$A$2:$D$33,3,FALSE)</f>
        <v>2680</v>
      </c>
      <c r="F8">
        <f>VLOOKUP(B8,[1]Sheet2!$A$2:$D$33,4,FALSE)</f>
        <v>1.32</v>
      </c>
    </row>
    <row r="9" spans="1:7" x14ac:dyDescent="0.25">
      <c r="A9">
        <v>0</v>
      </c>
      <c r="B9" t="s">
        <v>2</v>
      </c>
      <c r="C9">
        <v>13.16</v>
      </c>
      <c r="D9">
        <f>VLOOKUP(B9,[1]Sheet2!$A$2:$D$33,2,FALSE)</f>
        <v>2.72</v>
      </c>
      <c r="E9">
        <f>VLOOKUP(B9,[1]Sheet2!$A$2:$D$33,3,FALSE)</f>
        <v>1410</v>
      </c>
      <c r="F9">
        <f>VLOOKUP(B9,[1]Sheet2!$A$2:$D$33,4,FALSE)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2024-12-19T15:35:46Z</dcterms:modified>
</cp:coreProperties>
</file>