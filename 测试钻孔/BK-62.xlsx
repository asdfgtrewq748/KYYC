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桌面\多工作面开采下沉\红树梁钻孔信息统计\主关键层计算\"/>
    </mc:Choice>
  </mc:AlternateContent>
  <xr:revisionPtr revIDLastSave="0" documentId="13_ncr:1_{A2C774D4-83C1-4ED1-8780-154748160D1A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9" i="1"/>
  <c r="G8" i="1"/>
  <c r="D3" i="1"/>
  <c r="E3" i="1"/>
  <c r="F3" i="1"/>
  <c r="D4" i="1"/>
  <c r="E4" i="1"/>
  <c r="F4" i="1"/>
  <c r="D5" i="1"/>
  <c r="E5" i="1"/>
  <c r="F5" i="1"/>
  <c r="D6" i="1"/>
  <c r="E6" i="1"/>
  <c r="F6" i="1"/>
  <c r="D7" i="1"/>
  <c r="E7" i="1"/>
  <c r="F7" i="1"/>
  <c r="D8" i="1"/>
  <c r="E8" i="1"/>
  <c r="F8" i="1"/>
  <c r="D9" i="1"/>
  <c r="E9" i="1"/>
  <c r="F9" i="1"/>
  <c r="D10" i="1"/>
  <c r="E10" i="1"/>
  <c r="F10" i="1"/>
  <c r="D11" i="1"/>
  <c r="E11" i="1"/>
  <c r="F11" i="1"/>
  <c r="D12" i="1"/>
  <c r="E12" i="1"/>
  <c r="F12" i="1"/>
  <c r="D13" i="1"/>
  <c r="E13" i="1"/>
  <c r="F13" i="1"/>
  <c r="D14" i="1"/>
  <c r="E14" i="1"/>
  <c r="F14" i="1"/>
  <c r="F2" i="1"/>
  <c r="E2" i="1"/>
  <c r="D2" i="1"/>
</calcChain>
</file>

<file path=xl/sharedStrings.xml><?xml version="1.0" encoding="utf-8"?>
<sst xmlns="http://schemas.openxmlformats.org/spreadsheetml/2006/main" count="19" uniqueCount="13">
  <si>
    <t>砂质泥岩</t>
    <phoneticPr fontId="1" type="noConversion"/>
  </si>
  <si>
    <t>粉砂岩</t>
    <phoneticPr fontId="1" type="noConversion"/>
  </si>
  <si>
    <t>粗粒砂岩</t>
    <phoneticPr fontId="1" type="noConversion"/>
  </si>
  <si>
    <t>6煤</t>
    <phoneticPr fontId="1" type="noConversion"/>
  </si>
  <si>
    <t>细粒砂岩</t>
    <phoneticPr fontId="1" type="noConversion"/>
  </si>
  <si>
    <t>中粒砂岩</t>
    <phoneticPr fontId="1" type="noConversion"/>
  </si>
  <si>
    <t>黄土</t>
    <phoneticPr fontId="1" type="noConversion"/>
  </si>
  <si>
    <t>序号(从下到上)</t>
    <phoneticPr fontId="1" type="noConversion"/>
  </si>
  <si>
    <t>名称</t>
    <phoneticPr fontId="1" type="noConversion"/>
  </si>
  <si>
    <t>厚度/m</t>
    <phoneticPr fontId="1" type="noConversion"/>
  </si>
  <si>
    <t>弹性模量/Gpa</t>
    <phoneticPr fontId="1" type="noConversion"/>
  </si>
  <si>
    <t>容重/kN*m-3</t>
    <phoneticPr fontId="1" type="noConversion"/>
  </si>
  <si>
    <t>抗拉强度/MPa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</si>
</sst>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6700;&#38754;\&#22810;&#24037;&#20316;&#38754;&#24320;&#37319;&#19979;&#27785;\&#32418;&#26641;&#26753;&#38075;&#23380;&#20449;&#24687;&#32479;&#35745;\&#20851;&#38190;&#23618;&#21442;&#25968;&#20449;&#24687;.xlsx" TargetMode="External"/><Relationship Id="rId1" Type="http://schemas.openxmlformats.org/officeDocument/2006/relationships/externalLinkPath" Target="/&#26700;&#38754;/&#22810;&#24037;&#20316;&#38754;&#24320;&#37319;&#19979;&#27785;/&#32418;&#26641;&#26753;&#38075;&#23380;&#20449;&#24687;&#32479;&#35745;/&#20851;&#38190;&#23618;&#21442;&#25968;&#20449;&#2468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主关键层计算 (3)"/>
      <sheetName val="Sheet1"/>
      <sheetName val="Sheet2"/>
    </sheetNames>
    <sheetDataSet>
      <sheetData sheetId="0"/>
      <sheetData sheetId="1"/>
      <sheetData sheetId="2">
        <row r="2">
          <cell r="A2" t="str">
            <v>黄土</v>
          </cell>
          <cell r="B2">
            <v>0.54</v>
          </cell>
          <cell r="C2">
            <v>1800</v>
          </cell>
          <cell r="D2">
            <v>0</v>
          </cell>
        </row>
        <row r="3">
          <cell r="A3" t="str">
            <v>粗粒砂岩</v>
          </cell>
          <cell r="B3">
            <v>11.49</v>
          </cell>
          <cell r="C3">
            <v>2780</v>
          </cell>
          <cell r="D3">
            <v>3.0750000000000002</v>
          </cell>
        </row>
        <row r="4">
          <cell r="A4" t="str">
            <v>黄土、断层</v>
          </cell>
          <cell r="B4">
            <v>0.54</v>
          </cell>
          <cell r="C4">
            <v>1800</v>
          </cell>
          <cell r="D4">
            <v>0</v>
          </cell>
        </row>
        <row r="5">
          <cell r="A5" t="str">
            <v>砂质泥岩</v>
          </cell>
          <cell r="B5">
            <v>7.17</v>
          </cell>
          <cell r="C5">
            <v>2680</v>
          </cell>
          <cell r="D5">
            <v>1.32</v>
          </cell>
        </row>
        <row r="6">
          <cell r="A6" t="str">
            <v>细粒砂岩</v>
          </cell>
          <cell r="B6">
            <v>9.5399999999999991</v>
          </cell>
          <cell r="C6">
            <v>2830</v>
          </cell>
          <cell r="D6">
            <v>2.0499999999999998</v>
          </cell>
        </row>
        <row r="7">
          <cell r="A7" t="str">
            <v>中粒砂岩</v>
          </cell>
          <cell r="B7">
            <v>20</v>
          </cell>
          <cell r="C7">
            <v>2570</v>
          </cell>
          <cell r="D7">
            <v>2.72</v>
          </cell>
        </row>
        <row r="8">
          <cell r="A8" t="str">
            <v>泥岩</v>
          </cell>
          <cell r="B8">
            <v>7.17</v>
          </cell>
          <cell r="C8">
            <v>2680</v>
          </cell>
          <cell r="D8">
            <v>1.32</v>
          </cell>
        </row>
        <row r="9">
          <cell r="A9" t="str">
            <v>煤</v>
          </cell>
          <cell r="B9">
            <v>2.72</v>
          </cell>
          <cell r="C9">
            <v>1410</v>
          </cell>
          <cell r="D9">
            <v>0.83</v>
          </cell>
        </row>
        <row r="10">
          <cell r="A10" t="str">
            <v>炭质泥岩</v>
          </cell>
          <cell r="B10">
            <v>7.17</v>
          </cell>
          <cell r="C10">
            <v>2680</v>
          </cell>
          <cell r="D10">
            <v>1.32</v>
          </cell>
        </row>
        <row r="11">
          <cell r="A11" t="str">
            <v>6煤</v>
          </cell>
          <cell r="B11">
            <v>2.72</v>
          </cell>
          <cell r="C11">
            <v>1410</v>
          </cell>
          <cell r="D11">
            <v>0.83</v>
          </cell>
        </row>
        <row r="12">
          <cell r="A12" t="str">
            <v>粉砂岩</v>
          </cell>
          <cell r="B12">
            <v>10.199999999999999</v>
          </cell>
          <cell r="C12">
            <v>2590</v>
          </cell>
          <cell r="D12">
            <v>2.6</v>
          </cell>
        </row>
        <row r="13">
          <cell r="A13" t="str">
            <v>9煤</v>
          </cell>
          <cell r="B13">
            <v>2.72</v>
          </cell>
          <cell r="C13">
            <v>1410</v>
          </cell>
          <cell r="D13">
            <v>0.83</v>
          </cell>
        </row>
        <row r="14">
          <cell r="A14" t="str">
            <v>9下煤</v>
          </cell>
          <cell r="B14">
            <v>2.72</v>
          </cell>
          <cell r="C14">
            <v>1410</v>
          </cell>
          <cell r="D14">
            <v>0.83</v>
          </cell>
        </row>
        <row r="15">
          <cell r="A15" t="str">
            <v>含砾粗砂岩</v>
          </cell>
          <cell r="B15">
            <v>11.49</v>
          </cell>
          <cell r="C15">
            <v>2780</v>
          </cell>
          <cell r="D15">
            <v>1.44</v>
          </cell>
        </row>
        <row r="16">
          <cell r="A16" t="str">
            <v>高岭质泥岩</v>
          </cell>
          <cell r="B16">
            <v>7.17</v>
          </cell>
          <cell r="C16">
            <v>2680</v>
          </cell>
          <cell r="D16">
            <v>1.04</v>
          </cell>
        </row>
        <row r="17">
          <cell r="A17" t="str">
            <v>风化煤</v>
          </cell>
          <cell r="B17">
            <v>2.72</v>
          </cell>
          <cell r="C17">
            <v>1410</v>
          </cell>
          <cell r="D17">
            <v>0.83</v>
          </cell>
        </row>
        <row r="18">
          <cell r="A18" t="str">
            <v>泥灰岩</v>
          </cell>
          <cell r="B18">
            <v>7.17</v>
          </cell>
          <cell r="C18">
            <v>2680</v>
          </cell>
          <cell r="D18">
            <v>1.32</v>
          </cell>
        </row>
        <row r="19">
          <cell r="A19" t="str">
            <v>灰质泥岩</v>
          </cell>
          <cell r="B19">
            <v>7.17</v>
          </cell>
          <cell r="C19">
            <v>2680</v>
          </cell>
          <cell r="D19">
            <v>1.32</v>
          </cell>
        </row>
        <row r="20">
          <cell r="A20" t="str">
            <v>4煤</v>
          </cell>
          <cell r="B20">
            <v>2.72</v>
          </cell>
          <cell r="C20">
            <v>1410</v>
          </cell>
          <cell r="D20">
            <v>0.83</v>
          </cell>
        </row>
        <row r="21">
          <cell r="A21" t="str">
            <v>含砾粗粒砂岩</v>
          </cell>
          <cell r="B21">
            <v>11.49</v>
          </cell>
          <cell r="C21">
            <v>2780</v>
          </cell>
          <cell r="D21">
            <v>1.44</v>
          </cell>
        </row>
        <row r="22">
          <cell r="A22" t="str">
            <v>6-1煤</v>
          </cell>
          <cell r="B22">
            <v>2.72</v>
          </cell>
          <cell r="C22">
            <v>1410</v>
          </cell>
          <cell r="D22">
            <v>0.83</v>
          </cell>
        </row>
        <row r="23">
          <cell r="A23" t="str">
            <v>泥质灰岩</v>
          </cell>
          <cell r="B23">
            <v>7.17</v>
          </cell>
          <cell r="C23">
            <v>2680</v>
          </cell>
          <cell r="D23">
            <v>1.32</v>
          </cell>
        </row>
        <row r="24">
          <cell r="A24" t="str">
            <v>4号风化煤</v>
          </cell>
          <cell r="B24">
            <v>2.72</v>
          </cell>
          <cell r="C24">
            <v>1410</v>
          </cell>
          <cell r="D24">
            <v>0.83</v>
          </cell>
        </row>
        <row r="25">
          <cell r="A25" t="str">
            <v>煤线</v>
          </cell>
          <cell r="B25">
            <v>2.72</v>
          </cell>
          <cell r="C25">
            <v>1410</v>
          </cell>
          <cell r="D25">
            <v>0.83</v>
          </cell>
        </row>
        <row r="26">
          <cell r="A26" t="str">
            <v>5煤</v>
          </cell>
          <cell r="B26">
            <v>2.72</v>
          </cell>
          <cell r="C26">
            <v>1410</v>
          </cell>
          <cell r="D26">
            <v>0.83</v>
          </cell>
        </row>
        <row r="27">
          <cell r="A27" t="str">
            <v>9上煤</v>
          </cell>
          <cell r="B27">
            <v>2.72</v>
          </cell>
          <cell r="C27">
            <v>1410</v>
          </cell>
          <cell r="D27">
            <v>0.83</v>
          </cell>
        </row>
        <row r="28">
          <cell r="A28" t="str">
            <v>10煤</v>
          </cell>
          <cell r="B28">
            <v>2.72</v>
          </cell>
          <cell r="C28">
            <v>1410</v>
          </cell>
          <cell r="D28">
            <v>0.83</v>
          </cell>
        </row>
        <row r="29">
          <cell r="A29" t="str">
            <v>砾岩</v>
          </cell>
          <cell r="B29">
            <v>3.04</v>
          </cell>
          <cell r="C29">
            <v>2520</v>
          </cell>
          <cell r="D29">
            <v>1</v>
          </cell>
        </row>
        <row r="30">
          <cell r="A30" t="str">
            <v>石灰岩</v>
          </cell>
          <cell r="B30">
            <v>17.420000000000002</v>
          </cell>
          <cell r="C30">
            <v>2680</v>
          </cell>
          <cell r="D30">
            <v>3.85</v>
          </cell>
        </row>
        <row r="31">
          <cell r="A31" t="str">
            <v>含砾中砂岩</v>
          </cell>
          <cell r="B31">
            <v>20</v>
          </cell>
          <cell r="C31">
            <v>2570</v>
          </cell>
          <cell r="D31">
            <v>2.72</v>
          </cell>
        </row>
        <row r="32">
          <cell r="A32" t="str">
            <v>灰岩</v>
          </cell>
          <cell r="B32">
            <v>17.420000000000002</v>
          </cell>
          <cell r="C32">
            <v>2680</v>
          </cell>
          <cell r="D32">
            <v>3.85</v>
          </cell>
        </row>
        <row r="33">
          <cell r="A33" t="str">
            <v>高岭岩</v>
          </cell>
          <cell r="B33">
            <v>2.95</v>
          </cell>
          <cell r="C33">
            <v>2550</v>
          </cell>
          <cell r="D33">
            <v>1.05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G5" sqref="G5"/>
    </sheetView>
  </sheetViews>
  <sheetFormatPr defaultRowHeight="13.8" x14ac:dyDescent="0.25"/>
  <sheetData>
    <row r="1" spans="1:7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s="1"/>
    </row>
    <row r="2" spans="1:7" x14ac:dyDescent="0.25">
      <c r="A2">
        <v>12</v>
      </c>
      <c r="B2" t="s">
        <v>6</v>
      </c>
      <c r="C2">
        <v>83</v>
      </c>
      <c r="D2">
        <f>VLOOKUP(B2,[1]Sheet2!$A$2:$D$33,2,FALSE)</f>
        <v>0.54</v>
      </c>
      <c r="E2">
        <f>VLOOKUP(B2,[1]Sheet2!$A$2:$D$33,3,FALSE)</f>
        <v>1800</v>
      </c>
      <c r="F2">
        <f>VLOOKUP(B2,[1]Sheet2!$A$2:$D$33,4,FALSE)</f>
        <v>0</v>
      </c>
    </row>
    <row r="3" spans="1:7" x14ac:dyDescent="0.25">
      <c r="A3">
        <v>11</v>
      </c>
      <c r="B3" t="s">
        <v>0</v>
      </c>
      <c r="C3">
        <v>1.1499999999999999</v>
      </c>
      <c r="D3">
        <f>VLOOKUP(B3,[1]Sheet2!$A$2:$D$33,2,FALSE)</f>
        <v>7.17</v>
      </c>
      <c r="E3">
        <f>VLOOKUP(B3,[1]Sheet2!$A$2:$D$33,3,FALSE)</f>
        <v>2680</v>
      </c>
      <c r="F3">
        <f>VLOOKUP(B3,[1]Sheet2!$A$2:$D$33,4,FALSE)</f>
        <v>1.32</v>
      </c>
    </row>
    <row r="4" spans="1:7" x14ac:dyDescent="0.25">
      <c r="A4">
        <v>10</v>
      </c>
      <c r="B4" t="s">
        <v>5</v>
      </c>
      <c r="C4">
        <v>3.28</v>
      </c>
      <c r="D4">
        <f>VLOOKUP(B4,[1]Sheet2!$A$2:$D$33,2,FALSE)</f>
        <v>20</v>
      </c>
      <c r="E4">
        <f>VLOOKUP(B4,[1]Sheet2!$A$2:$D$33,3,FALSE)</f>
        <v>2570</v>
      </c>
      <c r="F4">
        <f>VLOOKUP(B4,[1]Sheet2!$A$2:$D$33,4,FALSE)</f>
        <v>2.72</v>
      </c>
      <c r="G4">
        <f>SUM(C5:C13)</f>
        <v>61.09</v>
      </c>
    </row>
    <row r="5" spans="1:7" x14ac:dyDescent="0.25">
      <c r="A5">
        <v>9</v>
      </c>
      <c r="B5" t="s">
        <v>0</v>
      </c>
      <c r="C5">
        <v>4.7</v>
      </c>
      <c r="D5">
        <f>VLOOKUP(B5,[1]Sheet2!$A$2:$D$33,2,FALSE)</f>
        <v>7.17</v>
      </c>
      <c r="E5">
        <f>VLOOKUP(B5,[1]Sheet2!$A$2:$D$33,3,FALSE)</f>
        <v>2680</v>
      </c>
      <c r="F5">
        <f>VLOOKUP(B5,[1]Sheet2!$A$2:$D$33,4,FALSE)</f>
        <v>1.32</v>
      </c>
    </row>
    <row r="6" spans="1:7" x14ac:dyDescent="0.25">
      <c r="A6">
        <v>8</v>
      </c>
      <c r="B6" t="s">
        <v>2</v>
      </c>
      <c r="C6">
        <v>5.37</v>
      </c>
      <c r="D6">
        <f>VLOOKUP(B6,[1]Sheet2!$A$2:$D$33,2,FALSE)</f>
        <v>11.49</v>
      </c>
      <c r="E6">
        <f>VLOOKUP(B6,[1]Sheet2!$A$2:$D$33,3,FALSE)</f>
        <v>2780</v>
      </c>
      <c r="F6">
        <f>VLOOKUP(B6,[1]Sheet2!$A$2:$D$33,4,FALSE)</f>
        <v>3.0750000000000002</v>
      </c>
    </row>
    <row r="7" spans="1:7" x14ac:dyDescent="0.25">
      <c r="A7">
        <v>7</v>
      </c>
      <c r="B7" t="s">
        <v>1</v>
      </c>
      <c r="C7">
        <v>3.98</v>
      </c>
      <c r="D7">
        <f>VLOOKUP(B7,[1]Sheet2!$A$2:$D$33,2,FALSE)</f>
        <v>10.199999999999999</v>
      </c>
      <c r="E7">
        <f>VLOOKUP(B7,[1]Sheet2!$A$2:$D$33,3,FALSE)</f>
        <v>2590</v>
      </c>
      <c r="F7">
        <f>VLOOKUP(B7,[1]Sheet2!$A$2:$D$33,4,FALSE)</f>
        <v>2.6</v>
      </c>
    </row>
    <row r="8" spans="1:7" x14ac:dyDescent="0.25">
      <c r="A8">
        <v>6</v>
      </c>
      <c r="B8" s="2" t="s">
        <v>2</v>
      </c>
      <c r="C8" s="2">
        <v>18.649999999999999</v>
      </c>
      <c r="D8" s="2">
        <f>VLOOKUP(B8,[1]Sheet2!$A$2:$D$33,2,FALSE)</f>
        <v>11.49</v>
      </c>
      <c r="E8" s="2">
        <f>VLOOKUP(B8,[1]Sheet2!$A$2:$D$33,3,FALSE)</f>
        <v>2780</v>
      </c>
      <c r="F8" s="2">
        <f>VLOOKUP(B8,[1]Sheet2!$A$2:$D$33,4,FALSE)</f>
        <v>3.0750000000000002</v>
      </c>
      <c r="G8">
        <f>SUM(C2:C7)</f>
        <v>101.48000000000002</v>
      </c>
    </row>
    <row r="9" spans="1:7" x14ac:dyDescent="0.25">
      <c r="A9">
        <v>5</v>
      </c>
      <c r="B9" t="s">
        <v>0</v>
      </c>
      <c r="C9">
        <v>9.64</v>
      </c>
      <c r="D9">
        <f>VLOOKUP(B9,[1]Sheet2!$A$2:$D$33,2,FALSE)</f>
        <v>7.17</v>
      </c>
      <c r="E9">
        <f>VLOOKUP(B9,[1]Sheet2!$A$2:$D$33,3,FALSE)</f>
        <v>2680</v>
      </c>
      <c r="F9">
        <f>VLOOKUP(B9,[1]Sheet2!$A$2:$D$33,4,FALSE)</f>
        <v>1.32</v>
      </c>
      <c r="G9">
        <f>SUM(C9:C13)</f>
        <v>28.39</v>
      </c>
    </row>
    <row r="10" spans="1:7" x14ac:dyDescent="0.25">
      <c r="A10">
        <v>4</v>
      </c>
      <c r="B10" t="s">
        <v>5</v>
      </c>
      <c r="C10">
        <v>5.25</v>
      </c>
      <c r="D10">
        <f>VLOOKUP(B10,[1]Sheet2!$A$2:$D$33,2,FALSE)</f>
        <v>20</v>
      </c>
      <c r="E10">
        <f>VLOOKUP(B10,[1]Sheet2!$A$2:$D$33,3,FALSE)</f>
        <v>2570</v>
      </c>
      <c r="F10">
        <f>VLOOKUP(B10,[1]Sheet2!$A$2:$D$33,4,FALSE)</f>
        <v>2.72</v>
      </c>
    </row>
    <row r="11" spans="1:7" x14ac:dyDescent="0.25">
      <c r="A11">
        <v>3</v>
      </c>
      <c r="B11" t="s">
        <v>1</v>
      </c>
      <c r="C11">
        <v>4.4400000000000004</v>
      </c>
      <c r="D11">
        <f>VLOOKUP(B11,[1]Sheet2!$A$2:$D$33,2,FALSE)</f>
        <v>10.199999999999999</v>
      </c>
      <c r="E11">
        <f>VLOOKUP(B11,[1]Sheet2!$A$2:$D$33,3,FALSE)</f>
        <v>2590</v>
      </c>
      <c r="F11">
        <f>VLOOKUP(B11,[1]Sheet2!$A$2:$D$33,4,FALSE)</f>
        <v>2.6</v>
      </c>
    </row>
    <row r="12" spans="1:7" x14ac:dyDescent="0.25">
      <c r="A12">
        <v>2</v>
      </c>
      <c r="B12" t="s">
        <v>4</v>
      </c>
      <c r="C12">
        <v>5.34</v>
      </c>
      <c r="D12">
        <f>VLOOKUP(B12,[1]Sheet2!$A$2:$D$33,2,FALSE)</f>
        <v>9.5399999999999991</v>
      </c>
      <c r="E12">
        <f>VLOOKUP(B12,[1]Sheet2!$A$2:$D$33,3,FALSE)</f>
        <v>2830</v>
      </c>
      <c r="F12">
        <f>VLOOKUP(B12,[1]Sheet2!$A$2:$D$33,4,FALSE)</f>
        <v>2.0499999999999998</v>
      </c>
    </row>
    <row r="13" spans="1:7" x14ac:dyDescent="0.25">
      <c r="A13">
        <v>1</v>
      </c>
      <c r="B13" t="s">
        <v>0</v>
      </c>
      <c r="C13">
        <v>3.72</v>
      </c>
      <c r="D13">
        <f>VLOOKUP(B13,[1]Sheet2!$A$2:$D$33,2,FALSE)</f>
        <v>7.17</v>
      </c>
      <c r="E13">
        <f>VLOOKUP(B13,[1]Sheet2!$A$2:$D$33,3,FALSE)</f>
        <v>2680</v>
      </c>
      <c r="F13">
        <f>VLOOKUP(B13,[1]Sheet2!$A$2:$D$33,4,FALSE)</f>
        <v>1.32</v>
      </c>
    </row>
    <row r="14" spans="1:7" x14ac:dyDescent="0.25">
      <c r="A14">
        <v>0</v>
      </c>
      <c r="B14" t="s">
        <v>3</v>
      </c>
      <c r="C14">
        <v>16.09</v>
      </c>
      <c r="D14">
        <f>VLOOKUP(B14,[1]Sheet2!$A$2:$D$33,2,FALSE)</f>
        <v>2.72</v>
      </c>
      <c r="E14">
        <f>VLOOKUP(B14,[1]Sheet2!$A$2:$D$33,3,FALSE)</f>
        <v>1410</v>
      </c>
      <c r="F14">
        <f>VLOOKUP(B14,[1]Sheet2!$A$2:$D$33,4,FALSE)</f>
        <v>0.83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Future</dc:creator>
  <cp:lastModifiedBy>楠 王</cp:lastModifiedBy>
  <dcterms:created xsi:type="dcterms:W3CDTF">2015-06-05T18:19:34Z</dcterms:created>
  <dcterms:modified xsi:type="dcterms:W3CDTF">2024-12-19T15:37:19Z</dcterms:modified>
</cp:coreProperties>
</file>