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1C5D8AC4-648E-4F37-A993-771BC2E2590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6" i="1"/>
  <c r="G5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F2" i="1"/>
  <c r="E2" i="1"/>
  <c r="D2" i="1"/>
</calcChain>
</file>

<file path=xl/sharedStrings.xml><?xml version="1.0" encoding="utf-8"?>
<sst xmlns="http://schemas.openxmlformats.org/spreadsheetml/2006/main" count="14" uniqueCount="11">
  <si>
    <t>砂质泥岩</t>
    <phoneticPr fontId="1" type="noConversion"/>
  </si>
  <si>
    <t>中粒砂岩</t>
    <phoneticPr fontId="1" type="noConversion"/>
  </si>
  <si>
    <t>6煤</t>
    <phoneticPr fontId="1" type="noConversion"/>
  </si>
  <si>
    <t>细粒砂岩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</si>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</sst>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1"/>
    </row>
    <row r="2" spans="1:7" x14ac:dyDescent="0.25">
      <c r="A2">
        <v>7</v>
      </c>
      <c r="B2" s="1" t="s">
        <v>4</v>
      </c>
      <c r="C2" s="1">
        <v>91.5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6</v>
      </c>
      <c r="B3" s="1" t="s">
        <v>0</v>
      </c>
      <c r="C3" s="1">
        <v>9.7100000000000009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SUM(C4:C8)</f>
        <v>53.289999999999992</v>
      </c>
    </row>
    <row r="4" spans="1:7" x14ac:dyDescent="0.25">
      <c r="A4">
        <v>5</v>
      </c>
      <c r="B4" s="1" t="s">
        <v>0</v>
      </c>
      <c r="C4" s="1">
        <v>12.09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4</v>
      </c>
      <c r="B5" s="2" t="s">
        <v>3</v>
      </c>
      <c r="C5" s="2">
        <v>11.32</v>
      </c>
      <c r="D5" s="3">
        <f>VLOOKUP(B5,[1]Sheet2!$A$2:$D$33,2,FALSE)</f>
        <v>9.5399999999999991</v>
      </c>
      <c r="E5" s="3">
        <f>VLOOKUP(B5,[1]Sheet2!$A$2:$D$33,3,FALSE)</f>
        <v>2830</v>
      </c>
      <c r="F5" s="3">
        <f>VLOOKUP(B5,[1]Sheet2!$A$2:$D$33,4,FALSE)</f>
        <v>2.0499999999999998</v>
      </c>
      <c r="G5">
        <f>SUM(C2:C4)</f>
        <v>113.30000000000001</v>
      </c>
    </row>
    <row r="6" spans="1:7" x14ac:dyDescent="0.25">
      <c r="A6">
        <v>3</v>
      </c>
      <c r="B6" s="1" t="s">
        <v>0</v>
      </c>
      <c r="C6" s="1">
        <v>9.31</v>
      </c>
      <c r="D6">
        <f>VLOOKUP(B6,[1]Sheet2!$A$2:$D$33,2,FALSE)</f>
        <v>7.17</v>
      </c>
      <c r="E6">
        <f>VLOOKUP(B6,[1]Sheet2!$A$2:$D$33,3,FALSE)</f>
        <v>2680</v>
      </c>
      <c r="F6">
        <f>VLOOKUP(B6,[1]Sheet2!$A$2:$D$33,4,FALSE)</f>
        <v>1.32</v>
      </c>
      <c r="G6">
        <f>SUM(C6:C8)</f>
        <v>29.88</v>
      </c>
    </row>
    <row r="7" spans="1:7" x14ac:dyDescent="0.25">
      <c r="A7">
        <v>2</v>
      </c>
      <c r="B7" s="1" t="s">
        <v>1</v>
      </c>
      <c r="C7" s="1">
        <v>16.27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1</v>
      </c>
      <c r="B8" s="1" t="s">
        <v>0</v>
      </c>
      <c r="C8" s="1">
        <v>4.3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1.32</v>
      </c>
    </row>
    <row r="9" spans="1:7" x14ac:dyDescent="0.25">
      <c r="A9">
        <v>0</v>
      </c>
      <c r="B9" s="1" t="s">
        <v>2</v>
      </c>
      <c r="C9" s="1">
        <v>14.8</v>
      </c>
      <c r="D9">
        <f>VLOOKUP(B9,[1]Sheet2!$A$2:$D$33,2,FALSE)</f>
        <v>2.72</v>
      </c>
      <c r="E9">
        <f>VLOOKUP(B9,[1]Sheet2!$A$2:$D$33,3,FALSE)</f>
        <v>1410</v>
      </c>
      <c r="F9">
        <f>VLOOKUP(B9,[1]Sheet2!$A$2:$D$33,4,FALSE)</f>
        <v>0.83</v>
      </c>
    </row>
    <row r="10" spans="1:7" x14ac:dyDescent="0.25">
      <c r="B10" s="1"/>
      <c r="C10" s="1"/>
    </row>
    <row r="11" spans="1:7" x14ac:dyDescent="0.25">
      <c r="B11" s="1"/>
      <c r="C11" s="1"/>
    </row>
    <row r="12" spans="1:7" x14ac:dyDescent="0.25">
      <c r="B12" s="1"/>
      <c r="C12" s="1"/>
    </row>
    <row r="13" spans="1:7" x14ac:dyDescent="0.25">
      <c r="B13" s="1"/>
      <c r="C13" s="1"/>
    </row>
    <row r="14" spans="1:7" x14ac:dyDescent="0.25">
      <c r="B14" s="1"/>
      <c r="C14" s="1"/>
    </row>
    <row r="15" spans="1:7" x14ac:dyDescent="0.25">
      <c r="B15" s="1"/>
      <c r="C15" s="1"/>
    </row>
    <row r="16" spans="1:7" x14ac:dyDescent="0.25">
      <c r="B16" s="1"/>
      <c r="C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2024-12-19T15:38:37Z</dcterms:modified>
</cp:coreProperties>
</file>